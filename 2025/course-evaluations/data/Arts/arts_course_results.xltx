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13_ncr:9_{D86C1B2F-76FD-664D-8FAB-4D58C48A1AC3}" xr6:coauthVersionLast="47" xr6:coauthVersionMax="47" xr10:uidLastSave="{00000000-0000-0000-0000-000000000000}"/>
  <bookViews>
    <workbookView xWindow="0" yWindow="740" windowWidth="28840" windowHeight="16680" activeTab="1" xr2:uid="{20CBD3B8-0FA2-C04C-9F7F-69650ED38FC2}"/>
  </bookViews>
  <sheets>
    <sheet name="Sheet1" sheetId="2" r:id="rId1"/>
    <sheet name="arts_course_results" sheetId="1" r:id="rId2"/>
  </sheets>
  <calcPr calcId="191029"/>
  <pivotCaches>
    <pivotCache cacheId="2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0" i="1" l="1"/>
  <c r="G80" i="1"/>
  <c r="G29" i="1"/>
  <c r="G107" i="1"/>
  <c r="G65" i="1"/>
  <c r="G106" i="1"/>
  <c r="G38" i="1"/>
  <c r="G58" i="1"/>
  <c r="G109" i="1"/>
  <c r="G15" i="1"/>
  <c r="G93" i="1"/>
  <c r="G120" i="1"/>
  <c r="G132" i="1"/>
  <c r="G66" i="1"/>
  <c r="G42" i="1"/>
  <c r="G43" i="1"/>
  <c r="G41" i="1"/>
  <c r="G10" i="1"/>
  <c r="F11" i="1"/>
  <c r="F99" i="1"/>
  <c r="F18" i="1"/>
  <c r="F55" i="1"/>
  <c r="F107" i="1"/>
  <c r="F65" i="1"/>
  <c r="F37" i="1"/>
  <c r="F111" i="1"/>
  <c r="F82" i="1"/>
  <c r="F16" i="1"/>
  <c r="F52" i="1"/>
  <c r="F46" i="1"/>
  <c r="F106" i="1"/>
  <c r="F38" i="1"/>
  <c r="F96" i="1"/>
  <c r="F36" i="1"/>
  <c r="F83" i="1"/>
  <c r="F72" i="1"/>
  <c r="F5" i="1"/>
  <c r="F48" i="1"/>
  <c r="F58" i="1"/>
  <c r="F129" i="1"/>
  <c r="F121" i="1"/>
  <c r="G121" i="1" s="1"/>
  <c r="F42" i="1"/>
  <c r="F126" i="1"/>
  <c r="F79" i="1"/>
  <c r="F97" i="1"/>
  <c r="F4" i="1"/>
  <c r="F134" i="1"/>
  <c r="F47" i="1"/>
  <c r="F131" i="1"/>
  <c r="G131" i="1" s="1"/>
  <c r="F43" i="1"/>
  <c r="F21" i="1"/>
  <c r="F9" i="1"/>
  <c r="F114" i="1"/>
  <c r="F115" i="1"/>
  <c r="F101" i="1"/>
  <c r="F113" i="1"/>
  <c r="F57" i="1"/>
  <c r="F73" i="1"/>
  <c r="F45" i="1"/>
  <c r="F100" i="1"/>
  <c r="F75" i="1"/>
  <c r="F119" i="1"/>
  <c r="F127" i="1"/>
  <c r="F70" i="1"/>
  <c r="F26" i="1"/>
  <c r="F95" i="1"/>
  <c r="F103" i="1"/>
  <c r="F94" i="1"/>
  <c r="F69" i="1"/>
  <c r="F125" i="1"/>
  <c r="F80" i="1"/>
  <c r="F29" i="1"/>
  <c r="F14" i="1"/>
  <c r="F22" i="1"/>
  <c r="F91" i="1"/>
  <c r="F34" i="1"/>
  <c r="G34" i="1" s="1"/>
  <c r="F98" i="1"/>
  <c r="F32" i="1"/>
  <c r="F118" i="1"/>
  <c r="F30" i="1"/>
  <c r="F116" i="1"/>
  <c r="F40" i="1"/>
  <c r="F8" i="1"/>
  <c r="F17" i="1"/>
  <c r="F86" i="1"/>
  <c r="F13" i="1"/>
  <c r="F60" i="1"/>
  <c r="F71" i="1"/>
  <c r="F109" i="1"/>
  <c r="F128" i="1"/>
  <c r="F3" i="1"/>
  <c r="F89" i="1"/>
  <c r="F77" i="1"/>
  <c r="F123" i="1"/>
  <c r="F81" i="1"/>
  <c r="F133" i="1"/>
  <c r="F15" i="1"/>
  <c r="F24" i="1"/>
  <c r="F35" i="1"/>
  <c r="F105" i="1"/>
  <c r="F85" i="1"/>
  <c r="F59" i="1"/>
  <c r="F62" i="1"/>
  <c r="F27" i="1"/>
  <c r="F93" i="1"/>
  <c r="F102" i="1"/>
  <c r="F67" i="1"/>
  <c r="F33" i="1"/>
  <c r="F6" i="1"/>
  <c r="F44" i="1"/>
  <c r="F92" i="1"/>
  <c r="F130" i="1"/>
  <c r="G130" i="1" s="1"/>
  <c r="F120" i="1"/>
  <c r="F112" i="1"/>
  <c r="F61" i="1"/>
  <c r="F12" i="1"/>
  <c r="F19" i="1"/>
  <c r="F51" i="1"/>
  <c r="F50" i="1"/>
  <c r="F110" i="1"/>
  <c r="G110" i="1" s="1"/>
  <c r="F132" i="1"/>
  <c r="F25" i="1"/>
  <c r="F74" i="1"/>
  <c r="F49" i="1"/>
  <c r="F87" i="1"/>
  <c r="F7" i="1"/>
  <c r="F90" i="1"/>
  <c r="F56" i="1"/>
  <c r="G56" i="1" s="1"/>
  <c r="F66" i="1"/>
  <c r="F63" i="1"/>
  <c r="F54" i="1"/>
  <c r="F76" i="1"/>
  <c r="F20" i="1"/>
  <c r="F23" i="1"/>
  <c r="F117" i="1"/>
  <c r="F41" i="1"/>
  <c r="F28" i="1"/>
  <c r="F84" i="1"/>
  <c r="F88" i="1"/>
  <c r="F68" i="1"/>
  <c r="F108" i="1"/>
  <c r="F104" i="1"/>
  <c r="F39" i="1"/>
  <c r="F10" i="1"/>
  <c r="F78" i="1"/>
  <c r="F31" i="1"/>
  <c r="F124" i="1"/>
  <c r="F122" i="1"/>
  <c r="F53" i="1"/>
  <c r="F64" i="1"/>
  <c r="F2" i="1"/>
  <c r="E21" i="1"/>
  <c r="G21" i="1" s="1"/>
  <c r="E9" i="1"/>
  <c r="G9" i="1" s="1"/>
  <c r="E114" i="1"/>
  <c r="G114" i="1" s="1"/>
  <c r="E115" i="1"/>
  <c r="G115" i="1" s="1"/>
  <c r="E101" i="1"/>
  <c r="G101" i="1" s="1"/>
  <c r="E113" i="1"/>
  <c r="G113" i="1" s="1"/>
  <c r="E57" i="1"/>
  <c r="G57" i="1" s="1"/>
  <c r="E73" i="1"/>
  <c r="G73" i="1" s="1"/>
  <c r="E45" i="1"/>
  <c r="G45" i="1" s="1"/>
  <c r="E100" i="1"/>
  <c r="G100" i="1" s="1"/>
  <c r="E75" i="1"/>
  <c r="G75" i="1" s="1"/>
  <c r="E119" i="1"/>
  <c r="G119" i="1" s="1"/>
  <c r="E127" i="1"/>
  <c r="G127" i="1" s="1"/>
  <c r="E70" i="1"/>
  <c r="E26" i="1"/>
  <c r="G26" i="1" s="1"/>
  <c r="E95" i="1"/>
  <c r="G95" i="1" s="1"/>
  <c r="E103" i="1"/>
  <c r="G103" i="1" s="1"/>
  <c r="E94" i="1"/>
  <c r="G94" i="1" s="1"/>
  <c r="E69" i="1"/>
  <c r="G69" i="1" s="1"/>
  <c r="E125" i="1"/>
  <c r="G125" i="1" s="1"/>
  <c r="E80" i="1"/>
  <c r="E29" i="1"/>
  <c r="E14" i="1"/>
  <c r="G14" i="1" s="1"/>
  <c r="E22" i="1"/>
  <c r="G22" i="1" s="1"/>
  <c r="E11" i="1"/>
  <c r="G11" i="1" s="1"/>
  <c r="E99" i="1"/>
  <c r="G99" i="1" s="1"/>
  <c r="E18" i="1"/>
  <c r="G18" i="1" s="1"/>
  <c r="E55" i="1"/>
  <c r="G55" i="1" s="1"/>
  <c r="E107" i="1"/>
  <c r="E65" i="1"/>
  <c r="E37" i="1"/>
  <c r="G37" i="1" s="1"/>
  <c r="E111" i="1"/>
  <c r="G111" i="1" s="1"/>
  <c r="E82" i="1"/>
  <c r="G82" i="1" s="1"/>
  <c r="E16" i="1"/>
  <c r="G16" i="1" s="1"/>
  <c r="E52" i="1"/>
  <c r="G52" i="1" s="1"/>
  <c r="E46" i="1"/>
  <c r="G46" i="1" s="1"/>
  <c r="E106" i="1"/>
  <c r="E38" i="1"/>
  <c r="E96" i="1"/>
  <c r="G96" i="1" s="1"/>
  <c r="E36" i="1"/>
  <c r="G36" i="1" s="1"/>
  <c r="E83" i="1"/>
  <c r="G83" i="1" s="1"/>
  <c r="E72" i="1"/>
  <c r="G72" i="1" s="1"/>
  <c r="E5" i="1"/>
  <c r="G5" i="1" s="1"/>
  <c r="E48" i="1"/>
  <c r="G48" i="1" s="1"/>
  <c r="E58" i="1"/>
  <c r="E130" i="1"/>
  <c r="E120" i="1"/>
  <c r="E112" i="1"/>
  <c r="G112" i="1" s="1"/>
  <c r="E61" i="1"/>
  <c r="G61" i="1" s="1"/>
  <c r="E12" i="1"/>
  <c r="G12" i="1" s="1"/>
  <c r="E19" i="1"/>
  <c r="G19" i="1" s="1"/>
  <c r="E51" i="1"/>
  <c r="G51" i="1" s="1"/>
  <c r="E50" i="1"/>
  <c r="G50" i="1" s="1"/>
  <c r="E110" i="1"/>
  <c r="E132" i="1"/>
  <c r="E25" i="1"/>
  <c r="G25" i="1" s="1"/>
  <c r="E74" i="1"/>
  <c r="G74" i="1" s="1"/>
  <c r="E49" i="1"/>
  <c r="G49" i="1" s="1"/>
  <c r="E87" i="1"/>
  <c r="G87" i="1" s="1"/>
  <c r="E7" i="1"/>
  <c r="G7" i="1" s="1"/>
  <c r="E90" i="1"/>
  <c r="G90" i="1" s="1"/>
  <c r="E56" i="1"/>
  <c r="E66" i="1"/>
  <c r="E63" i="1"/>
  <c r="G63" i="1" s="1"/>
  <c r="E54" i="1"/>
  <c r="G54" i="1" s="1"/>
  <c r="E76" i="1"/>
  <c r="G76" i="1" s="1"/>
  <c r="E20" i="1"/>
  <c r="G20" i="1" s="1"/>
  <c r="E23" i="1"/>
  <c r="G23" i="1" s="1"/>
  <c r="E129" i="1"/>
  <c r="G129" i="1" s="1"/>
  <c r="E121" i="1"/>
  <c r="E42" i="1"/>
  <c r="E126" i="1"/>
  <c r="G126" i="1" s="1"/>
  <c r="E79" i="1"/>
  <c r="G79" i="1" s="1"/>
  <c r="E97" i="1"/>
  <c r="G97" i="1" s="1"/>
  <c r="E4" i="1"/>
  <c r="G4" i="1" s="1"/>
  <c r="E134" i="1"/>
  <c r="G134" i="1" s="1"/>
  <c r="E47" i="1"/>
  <c r="G47" i="1" s="1"/>
  <c r="E131" i="1"/>
  <c r="E43" i="1"/>
  <c r="E40" i="1"/>
  <c r="G40" i="1" s="1"/>
  <c r="E8" i="1"/>
  <c r="G8" i="1" s="1"/>
  <c r="E17" i="1"/>
  <c r="G17" i="1" s="1"/>
  <c r="E86" i="1"/>
  <c r="G86" i="1" s="1"/>
  <c r="E13" i="1"/>
  <c r="G13" i="1" s="1"/>
  <c r="E60" i="1"/>
  <c r="G60" i="1" s="1"/>
  <c r="E71" i="1"/>
  <c r="G71" i="1" s="1"/>
  <c r="E109" i="1"/>
  <c r="E128" i="1"/>
  <c r="G128" i="1" s="1"/>
  <c r="E3" i="1"/>
  <c r="G3" i="1" s="1"/>
  <c r="E89" i="1"/>
  <c r="G89" i="1" s="1"/>
  <c r="E77" i="1"/>
  <c r="G77" i="1" s="1"/>
  <c r="E123" i="1"/>
  <c r="G123" i="1" s="1"/>
  <c r="E81" i="1"/>
  <c r="G81" i="1" s="1"/>
  <c r="E133" i="1"/>
  <c r="G133" i="1" s="1"/>
  <c r="E15" i="1"/>
  <c r="E24" i="1"/>
  <c r="G24" i="1" s="1"/>
  <c r="E35" i="1"/>
  <c r="G35" i="1" s="1"/>
  <c r="E105" i="1"/>
  <c r="G105" i="1" s="1"/>
  <c r="E85" i="1"/>
  <c r="G85" i="1" s="1"/>
  <c r="E59" i="1"/>
  <c r="G59" i="1" s="1"/>
  <c r="E62" i="1"/>
  <c r="G62" i="1" s="1"/>
  <c r="E27" i="1"/>
  <c r="G27" i="1" s="1"/>
  <c r="E93" i="1"/>
  <c r="E102" i="1"/>
  <c r="G102" i="1" s="1"/>
  <c r="E67" i="1"/>
  <c r="G67" i="1" s="1"/>
  <c r="E33" i="1"/>
  <c r="G33" i="1" s="1"/>
  <c r="E6" i="1"/>
  <c r="G6" i="1" s="1"/>
  <c r="E44" i="1"/>
  <c r="G44" i="1" s="1"/>
  <c r="E92" i="1"/>
  <c r="G92" i="1" s="1"/>
  <c r="E117" i="1"/>
  <c r="G117" i="1" s="1"/>
  <c r="E41" i="1"/>
  <c r="E28" i="1"/>
  <c r="G28" i="1" s="1"/>
  <c r="E84" i="1"/>
  <c r="G84" i="1" s="1"/>
  <c r="E88" i="1"/>
  <c r="G88" i="1" s="1"/>
  <c r="E68" i="1"/>
  <c r="G68" i="1" s="1"/>
  <c r="E108" i="1"/>
  <c r="G108" i="1" s="1"/>
  <c r="E104" i="1"/>
  <c r="G104" i="1" s="1"/>
  <c r="E39" i="1"/>
  <c r="G39" i="1" s="1"/>
  <c r="E10" i="1"/>
  <c r="E78" i="1"/>
  <c r="G78" i="1" s="1"/>
  <c r="E31" i="1"/>
  <c r="G31" i="1" s="1"/>
  <c r="E124" i="1"/>
  <c r="G124" i="1" s="1"/>
  <c r="E122" i="1"/>
  <c r="G122" i="1" s="1"/>
  <c r="E53" i="1"/>
  <c r="G53" i="1" s="1"/>
  <c r="E64" i="1"/>
  <c r="G64" i="1" s="1"/>
  <c r="E91" i="1"/>
  <c r="G91" i="1" s="1"/>
  <c r="E34" i="1"/>
  <c r="E98" i="1"/>
  <c r="G98" i="1" s="1"/>
  <c r="E32" i="1"/>
  <c r="G32" i="1" s="1"/>
  <c r="E118" i="1"/>
  <c r="G118" i="1" s="1"/>
  <c r="E30" i="1"/>
  <c r="G30" i="1" s="1"/>
  <c r="E116" i="1"/>
  <c r="G116" i="1" s="1"/>
  <c r="E2" i="1"/>
  <c r="G2" i="1" s="1"/>
  <c r="J58" i="1"/>
  <c r="J48" i="1"/>
  <c r="J15" i="1"/>
  <c r="J24" i="1"/>
  <c r="J35" i="1"/>
  <c r="J105" i="1"/>
  <c r="J85" i="1"/>
  <c r="J59" i="1"/>
  <c r="J62" i="1"/>
  <c r="J27" i="1"/>
  <c r="J93" i="1"/>
  <c r="J102" i="1"/>
  <c r="J67" i="1"/>
  <c r="J33" i="1"/>
  <c r="J6" i="1"/>
  <c r="J44" i="1"/>
  <c r="J92" i="1"/>
  <c r="J130" i="1"/>
  <c r="J120" i="1"/>
  <c r="J112" i="1"/>
  <c r="J61" i="1"/>
  <c r="J12" i="1"/>
  <c r="J19" i="1"/>
  <c r="J51" i="1"/>
  <c r="J50" i="1"/>
  <c r="J110" i="1"/>
  <c r="J132" i="1"/>
  <c r="J25" i="1"/>
  <c r="J74" i="1"/>
  <c r="J49" i="1"/>
  <c r="J87" i="1"/>
  <c r="J7" i="1"/>
  <c r="J90" i="1"/>
  <c r="J56" i="1"/>
  <c r="J66" i="1"/>
  <c r="J63" i="1"/>
  <c r="J54" i="1"/>
  <c r="J76" i="1"/>
  <c r="J20" i="1"/>
  <c r="J23" i="1"/>
  <c r="J129" i="1"/>
  <c r="J121" i="1"/>
  <c r="J42" i="1"/>
  <c r="J126" i="1"/>
  <c r="J79" i="1"/>
  <c r="J97" i="1"/>
  <c r="J4" i="1"/>
  <c r="J134" i="1"/>
  <c r="J47" i="1"/>
  <c r="J131" i="1"/>
  <c r="J43" i="1"/>
  <c r="J21" i="1"/>
  <c r="J9" i="1"/>
  <c r="J114" i="1"/>
  <c r="J115" i="1"/>
  <c r="J101" i="1"/>
  <c r="J113" i="1"/>
  <c r="J57" i="1"/>
  <c r="J73" i="1"/>
  <c r="J45" i="1"/>
  <c r="J100" i="1"/>
  <c r="J75" i="1"/>
  <c r="J119" i="1"/>
  <c r="J127" i="1"/>
  <c r="J70" i="1"/>
  <c r="J26" i="1"/>
  <c r="J95" i="1"/>
  <c r="J103" i="1"/>
  <c r="J94" i="1"/>
  <c r="J69" i="1"/>
  <c r="J125" i="1"/>
  <c r="J80" i="1"/>
  <c r="J29" i="1"/>
  <c r="J14" i="1"/>
  <c r="J22" i="1"/>
  <c r="J11" i="1"/>
  <c r="J99" i="1"/>
  <c r="J18" i="1"/>
  <c r="J55" i="1"/>
  <c r="J107" i="1"/>
  <c r="J65" i="1"/>
  <c r="J37" i="1"/>
  <c r="J111" i="1"/>
  <c r="J82" i="1"/>
  <c r="J16" i="1"/>
  <c r="J52" i="1"/>
  <c r="J46" i="1"/>
  <c r="J106" i="1"/>
  <c r="J38" i="1"/>
  <c r="J96" i="1"/>
  <c r="J36" i="1"/>
  <c r="J83" i="1"/>
  <c r="J72" i="1"/>
  <c r="J5" i="1"/>
  <c r="J117" i="1"/>
  <c r="J41" i="1"/>
  <c r="J28" i="1"/>
  <c r="J84" i="1"/>
  <c r="J88" i="1"/>
  <c r="J68" i="1"/>
  <c r="J108" i="1"/>
  <c r="J104" i="1"/>
  <c r="J39" i="1"/>
  <c r="J10" i="1"/>
  <c r="J78" i="1"/>
  <c r="J31" i="1"/>
  <c r="J124" i="1"/>
  <c r="J122" i="1"/>
  <c r="J53" i="1"/>
  <c r="J64" i="1"/>
  <c r="J91" i="1"/>
  <c r="J34" i="1"/>
  <c r="J98" i="1"/>
  <c r="J32" i="1"/>
  <c r="J118" i="1"/>
  <c r="J30" i="1"/>
  <c r="J116" i="1"/>
  <c r="J40" i="1"/>
  <c r="J8" i="1"/>
  <c r="J17" i="1"/>
  <c r="J86" i="1"/>
  <c r="J13" i="1"/>
  <c r="J60" i="1"/>
  <c r="J71" i="1"/>
  <c r="J109" i="1"/>
  <c r="J128" i="1"/>
  <c r="J3" i="1"/>
  <c r="J89" i="1"/>
  <c r="J77" i="1"/>
  <c r="J123" i="1"/>
  <c r="J81" i="1"/>
  <c r="J133" i="1"/>
  <c r="J2" i="1"/>
</calcChain>
</file>

<file path=xl/sharedStrings.xml><?xml version="1.0" encoding="utf-8"?>
<sst xmlns="http://schemas.openxmlformats.org/spreadsheetml/2006/main" count="297" uniqueCount="87">
  <si>
    <t>Course Code</t>
  </si>
  <si>
    <t>Instructor</t>
  </si>
  <si>
    <t>Enrolled</t>
  </si>
  <si>
    <t>Responses</t>
  </si>
  <si>
    <t>Avg Hours</t>
  </si>
  <si>
    <t>Sentiment Score</t>
  </si>
  <si>
    <t>TAPS 10200</t>
  </si>
  <si>
    <t>(s) Heidi</t>
  </si>
  <si>
    <t>ARTV 10300</t>
  </si>
  <si>
    <t>(s) Caitlyn Au</t>
  </si>
  <si>
    <t>(s) Celeste</t>
  </si>
  <si>
    <t>(s) Leslie</t>
  </si>
  <si>
    <t>(s)  Qiuchen Wu</t>
  </si>
  <si>
    <t>MUSI 10200</t>
  </si>
  <si>
    <t>(s)  Patrick Murphy</t>
  </si>
  <si>
    <t>TAPS 10800</t>
  </si>
  <si>
    <t>(s) Elizabeth Leopold</t>
  </si>
  <si>
    <t>MUSI 10300</t>
  </si>
  <si>
    <t>(s) Andrew Stock</t>
  </si>
  <si>
    <t>(s)  Paul Novak</t>
  </si>
  <si>
    <t>ARTV 10100</t>
  </si>
  <si>
    <t>(s)  Ting Chun Wang</t>
  </si>
  <si>
    <t>CMST 14400</t>
  </si>
  <si>
    <t>(s)</t>
  </si>
  <si>
    <t>TAPS 10300</t>
  </si>
  <si>
    <t>(s) Kathryn</t>
  </si>
  <si>
    <t>(s)  Serena Himmelfarb</t>
  </si>
  <si>
    <t>(s)  John</t>
  </si>
  <si>
    <t>MUSI 10100</t>
  </si>
  <si>
    <t>(s)  Anne Monique Pace</t>
  </si>
  <si>
    <t>(s)  Sean Shepherd</t>
  </si>
  <si>
    <t>CRWR 18200</t>
  </si>
  <si>
    <t>TAPS 10900</t>
  </si>
  <si>
    <t>(s)  Clara Nizard</t>
  </si>
  <si>
    <t>(s)  Wilson Yerxa</t>
  </si>
  <si>
    <t>(s) Jason Salavon</t>
  </si>
  <si>
    <t>MUSI 10400</t>
  </si>
  <si>
    <t>(s) Florian Walch</t>
  </si>
  <si>
    <t>TAPS 10100</t>
  </si>
  <si>
    <t>(s) David New</t>
  </si>
  <si>
    <t>(s)  Jennifer Iverson</t>
  </si>
  <si>
    <t>(s) Martha Feldman</t>
  </si>
  <si>
    <t>ARTV 10200</t>
  </si>
  <si>
    <t>(s)  Tara Willis</t>
  </si>
  <si>
    <t>(s) Seth Bockley</t>
  </si>
  <si>
    <t>(s) Melani Shahin</t>
  </si>
  <si>
    <t>(s) Catrin Dowd</t>
  </si>
  <si>
    <t>(s) Catherine Sullivan</t>
  </si>
  <si>
    <t>(s) Jacob Reed</t>
  </si>
  <si>
    <t>(s) Travis Jackson</t>
  </si>
  <si>
    <t>(s) Tina Post</t>
  </si>
  <si>
    <t>(s) Devon Borowski</t>
  </si>
  <si>
    <t>(s) Tara Willis</t>
  </si>
  <si>
    <t>(s)  Paula Harper</t>
  </si>
  <si>
    <t>(s) Pamela Pascoe</t>
  </si>
  <si>
    <t>(s)  Jessica Baker</t>
  </si>
  <si>
    <t>(s) Anh Vu</t>
  </si>
  <si>
    <t>(s)  Christopher Batterman Chairez</t>
  </si>
  <si>
    <t>(s) Pamela</t>
  </si>
  <si>
    <t>(s)  Anh Vu</t>
  </si>
  <si>
    <t>(s) Audrey Slote</t>
  </si>
  <si>
    <t>(s)  Jason Salavon</t>
  </si>
  <si>
    <t>(s)  Tomal Hossain</t>
  </si>
  <si>
    <t>(s) Wilson Yerxa</t>
  </si>
  <si>
    <t>(s)  Anna Schultz</t>
  </si>
  <si>
    <t>ARTH 10100</t>
  </si>
  <si>
    <t>(s)  Claudia</t>
  </si>
  <si>
    <t>(s) Shade</t>
  </si>
  <si>
    <t>(s)  Devon Borowski</t>
  </si>
  <si>
    <t>(s)  Shade</t>
  </si>
  <si>
    <t>(s) Fiona Boyd</t>
  </si>
  <si>
    <t>(s) Erol Koymen</t>
  </si>
  <si>
    <t>(s)  Elizabeth Leopold</t>
  </si>
  <si>
    <t>(s) Tomal Hossain</t>
  </si>
  <si>
    <t>(s)  David New</t>
  </si>
  <si>
    <t>(s) Julia Rhoads</t>
  </si>
  <si>
    <t>(s) Emily Williams</t>
  </si>
  <si>
    <t>Inverted Sentiment</t>
  </si>
  <si>
    <t>Normalised Hours</t>
  </si>
  <si>
    <t>Final Difficulty Score</t>
  </si>
  <si>
    <t>Response Rate</t>
  </si>
  <si>
    <t>Average of Response Rate</t>
  </si>
  <si>
    <t>Average of Sentiment Score</t>
  </si>
  <si>
    <t>Average of Avg Hours</t>
  </si>
  <si>
    <t>Average of Final Difficulty Score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</si>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</sst>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FF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19" fillId="0" borderId="0" xfId="0" applyFont="1"/>
    <xf numFmtId="165" fontId="18" fillId="0" borderId="0" xfId="0" applyNumberFormat="1" applyFont="1"/>
    <xf numFmtId="9" fontId="19" fillId="0" borderId="0" xfId="1" applyFont="1"/>
    <xf numFmtId="9" fontId="18" fillId="0" borderId="0" xfId="1" applyFont="1"/>
    <xf numFmtId="9" fontId="0" fillId="0" borderId="0" xfId="1" applyFont="1"/>
    <xf numFmtId="1" fontId="18" fillId="0" borderId="0" xfId="0" applyNumberFormat="1" applyFont="1"/>
    <xf numFmtId="0" fontId="0" fillId="0" borderId="0" xfId="0" pivotButton="1"/>
    <xf numFmtId="9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41.79593576389" createdVersion="8" refreshedVersion="8" minRefreshableVersion="3" recordCount="133" xr:uid="{A761D266-CD32-564B-89E7-DA50972B61E4}">
  <cacheSource type="worksheet">
    <worksheetSource ref="A1:J134" sheet="arts_course_results"/>
  </cacheSource>
  <cacheFields count="10">
    <cacheField name="Course Code" numFmtId="0">
      <sharedItems count="15">
        <s v="TAPS 10200"/>
        <s v="TAPS 10100"/>
        <s v="ARTV 10100"/>
        <s v="CMST 14400"/>
        <s v="CRWR 18200"/>
        <s v="ARTH 10100"/>
        <s v="TAPS 10900"/>
        <s v="TAPS 10300"/>
        <s v="MUSI 10100"/>
        <s v="MUSI 10200"/>
        <s v="ARTV 10300"/>
        <s v="TAPS 10800"/>
        <s v="ARTV 10200"/>
        <s v="MUSI 10300"/>
        <s v="MUSI 10400"/>
      </sharedItems>
    </cacheField>
    <cacheField name="Instructor" numFmtId="0">
      <sharedItems/>
    </cacheField>
    <cacheField name="Avg Hours" numFmtId="165">
      <sharedItems containsSemiMixedTypes="0" containsString="0" containsNumber="1" minValue="2.5" maxValue="11.07"/>
    </cacheField>
    <cacheField name="Sentiment Score" numFmtId="165">
      <sharedItems containsSemiMixedTypes="0" containsString="0" containsNumber="1" minValue="0.128" maxValue="0.32800000000000001"/>
    </cacheField>
    <cacheField name="Normalised Hours" numFmtId="165">
      <sharedItems containsSemiMixedTypes="0" containsString="0" containsNumber="1" minValue="0" maxValue="1"/>
    </cacheField>
    <cacheField name="Inverted Sentiment" numFmtId="165">
      <sharedItems containsSemiMixedTypes="0" containsString="0" containsNumber="1" minValue="0" maxValue="1"/>
    </cacheField>
    <cacheField name="Final Difficulty Score" numFmtId="165">
      <sharedItems containsSemiMixedTypes="0" containsString="0" containsNumber="1" minValue="8.0000000000000071E-2" maxValue="0.91500000000000004"/>
    </cacheField>
    <cacheField name="Enrolled" numFmtId="1">
      <sharedItems containsSemiMixedTypes="0" containsString="0" containsNumber="1" containsInteger="1" minValue="4" maxValue="95"/>
    </cacheField>
    <cacheField name="Responses" numFmtId="1">
      <sharedItems containsSemiMixedTypes="0" containsString="0" containsNumber="1" containsInteger="1" minValue="3" maxValue="37"/>
    </cacheField>
    <cacheField name="Response Rate" numFmtId="9">
      <sharedItems containsSemiMixedTypes="0" containsString="0" containsNumber="1" minValue="0.17857142857142858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">
  <r>
    <x v="0"/>
    <s v="(s) Heidi"/>
    <n v="2.5"/>
    <n v="0.29599999999999999"/>
    <n v="0"/>
    <n v="0.16000000000000014"/>
    <n v="8.0000000000000071E-2"/>
    <n v="17"/>
    <n v="8"/>
    <n v="0.47058823529411764"/>
  </r>
  <r>
    <x v="1"/>
    <s v="(s) David New"/>
    <n v="3.33"/>
    <n v="0.31"/>
    <n v="9.6849474912485425E-2"/>
    <n v="9.000000000000008E-2"/>
    <n v="9.3424737456242746E-2"/>
    <n v="17"/>
    <n v="7"/>
    <n v="0.41176470588235292"/>
  </r>
  <r>
    <x v="2"/>
    <s v="(s)"/>
    <n v="3.75"/>
    <n v="0.31900000000000001"/>
    <n v="0.14585764294049008"/>
    <n v="4.500000000000004E-2"/>
    <n v="9.5428821470245062E-2"/>
    <n v="12"/>
    <n v="5"/>
    <n v="0.41666666666666669"/>
  </r>
  <r>
    <x v="2"/>
    <s v="(s)"/>
    <n v="2.5"/>
    <n v="0.28899999999999998"/>
    <n v="0"/>
    <n v="0.19500000000000017"/>
    <n v="9.7500000000000087E-2"/>
    <n v="16"/>
    <n v="9"/>
    <n v="0.5625"/>
  </r>
  <r>
    <x v="3"/>
    <s v="(s)"/>
    <n v="3.5"/>
    <n v="0.308"/>
    <n v="0.11668611435239207"/>
    <n v="0.10000000000000009"/>
    <n v="0.10834305717619608"/>
    <n v="18"/>
    <n v="10"/>
    <n v="0.55555555555555558"/>
  </r>
  <r>
    <x v="1"/>
    <s v="(s) Pamela Pascoe"/>
    <n v="3.5"/>
    <n v="0.3"/>
    <n v="0.11668611435239207"/>
    <n v="0.14000000000000012"/>
    <n v="0.1283430571761961"/>
    <n v="20"/>
    <n v="10"/>
    <n v="0.5"/>
  </r>
  <r>
    <x v="4"/>
    <s v="(s)"/>
    <n v="3.5"/>
    <n v="0.29899999999999999"/>
    <n v="0.11668611435239207"/>
    <n v="0.14500000000000013"/>
    <n v="0.1308430571761961"/>
    <n v="12"/>
    <n v="5"/>
    <n v="0.41666666666666669"/>
  </r>
  <r>
    <x v="4"/>
    <s v="(s)"/>
    <n v="3.5"/>
    <n v="0.29899999999999999"/>
    <n v="0.11668611435239207"/>
    <n v="0.14500000000000013"/>
    <n v="0.1308430571761961"/>
    <n v="12"/>
    <n v="10"/>
    <n v="0.83333333333333337"/>
  </r>
  <r>
    <x v="3"/>
    <s v="(s)"/>
    <n v="4.7699999999999996"/>
    <n v="0.32800000000000001"/>
    <n v="0.26487747957992991"/>
    <n v="0"/>
    <n v="0.13243873978996495"/>
    <n v="18"/>
    <n v="11"/>
    <n v="0.61111111111111116"/>
  </r>
  <r>
    <x v="5"/>
    <s v="(s)  Claudia"/>
    <n v="3.44"/>
    <n v="0.29399999999999998"/>
    <n v="0.10968494749124853"/>
    <n v="0.17000000000000015"/>
    <n v="0.13984247374562433"/>
    <n v="95"/>
    <n v="37"/>
    <n v="0.38947368421052631"/>
  </r>
  <r>
    <x v="4"/>
    <s v="(s)"/>
    <n v="4.17"/>
    <n v="0.308"/>
    <n v="0.19486581096849473"/>
    <n v="0.10000000000000009"/>
    <n v="0.14743290548424742"/>
    <n v="12"/>
    <n v="12"/>
    <n v="1"/>
  </r>
  <r>
    <x v="3"/>
    <s v="(s)"/>
    <n v="3.21"/>
    <n v="0.28499999999999998"/>
    <n v="8.2847141190198356E-2"/>
    <n v="0.21500000000000019"/>
    <n v="0.14892357059509928"/>
    <n v="18"/>
    <n v="10"/>
    <n v="0.55555555555555558"/>
  </r>
  <r>
    <x v="1"/>
    <s v="(s) David New"/>
    <n v="2.5"/>
    <n v="0.26800000000000002"/>
    <n v="0"/>
    <n v="0.29999999999999993"/>
    <n v="0.14999999999999997"/>
    <n v="18"/>
    <n v="6"/>
    <n v="0.33333333333333331"/>
  </r>
  <r>
    <x v="0"/>
    <s v="(s)"/>
    <n v="2.5"/>
    <n v="0.26700000000000002"/>
    <n v="0"/>
    <n v="0.30499999999999994"/>
    <n v="0.15249999999999997"/>
    <n v="15"/>
    <n v="4"/>
    <n v="0.26666666666666666"/>
  </r>
  <r>
    <x v="4"/>
    <s v="(s)"/>
    <n v="4.17"/>
    <n v="0.3"/>
    <n v="0.19486581096849473"/>
    <n v="0.14000000000000012"/>
    <n v="0.16743290548424744"/>
    <n v="12"/>
    <n v="6"/>
    <n v="0.5"/>
  </r>
  <r>
    <x v="3"/>
    <s v="(s)"/>
    <n v="4"/>
    <n v="0.29499999999999998"/>
    <n v="0.1750291715285881"/>
    <n v="0.16500000000000015"/>
    <n v="0.17001458576429412"/>
    <n v="21"/>
    <n v="11"/>
    <n v="0.52380952380952384"/>
  </r>
  <r>
    <x v="3"/>
    <s v="(s)"/>
    <n v="3"/>
    <n v="0.27100000000000002"/>
    <n v="5.8343057176196034E-2"/>
    <n v="0.28499999999999992"/>
    <n v="0.17167152858809798"/>
    <n v="19"/>
    <n v="10"/>
    <n v="0.52631578947368418"/>
  </r>
  <r>
    <x v="6"/>
    <s v="(s) Tina Post"/>
    <n v="2.95"/>
    <n v="0.26600000000000001"/>
    <n v="5.2508751458576447E-2"/>
    <n v="0.30999999999999994"/>
    <n v="0.18125437572928821"/>
    <n v="13"/>
    <n v="11"/>
    <n v="0.84615384615384615"/>
  </r>
  <r>
    <x v="6"/>
    <s v="(s) Tina Post"/>
    <n v="2.95"/>
    <n v="0.26200000000000001"/>
    <n v="5.2508751458576447E-2"/>
    <n v="0.32999999999999996"/>
    <n v="0.19125437572928822"/>
    <n v="16"/>
    <n v="12"/>
    <n v="0.75"/>
  </r>
  <r>
    <x v="2"/>
    <s v="(s)"/>
    <n v="2.5"/>
    <n v="0.249"/>
    <n v="0"/>
    <n v="0.39500000000000002"/>
    <n v="0.19750000000000001"/>
    <n v="15"/>
    <n v="7"/>
    <n v="0.46666666666666667"/>
  </r>
  <r>
    <x v="7"/>
    <s v="(s)"/>
    <n v="3.75"/>
    <n v="0.27500000000000002"/>
    <n v="0.14585764294049008"/>
    <n v="0.2649999999999999"/>
    <n v="0.20542882147024499"/>
    <n v="17"/>
    <n v="12"/>
    <n v="0.70588235294117652"/>
  </r>
  <r>
    <x v="7"/>
    <s v="(s)"/>
    <n v="3.75"/>
    <n v="0.27200000000000002"/>
    <n v="0.14585764294049008"/>
    <n v="0.27999999999999992"/>
    <n v="0.212928821470245"/>
    <n v="16"/>
    <n v="8"/>
    <n v="0.5"/>
  </r>
  <r>
    <x v="3"/>
    <s v="(s)"/>
    <n v="3.12"/>
    <n v="0.25700000000000001"/>
    <n v="7.2345390898483089E-2"/>
    <n v="0.35499999999999998"/>
    <n v="0.21367269544924153"/>
    <n v="19"/>
    <n v="9"/>
    <n v="0.47368421052631576"/>
  </r>
  <r>
    <x v="7"/>
    <s v="(s)"/>
    <n v="3.75"/>
    <n v="0.27"/>
    <n v="0.14585764294049008"/>
    <n v="0.28999999999999992"/>
    <n v="0.217928821470245"/>
    <n v="16"/>
    <n v="10"/>
    <n v="0.625"/>
  </r>
  <r>
    <x v="3"/>
    <s v="(s)"/>
    <n v="3.12"/>
    <n v="0.254"/>
    <n v="7.2345390898483089E-2"/>
    <n v="0.37"/>
    <n v="0.22117269544924154"/>
    <n v="18"/>
    <n v="8"/>
    <n v="0.44444444444444442"/>
  </r>
  <r>
    <x v="1"/>
    <s v="(s) Seth Bockley"/>
    <n v="3.61"/>
    <n v="0.26200000000000001"/>
    <n v="0.12952158693115517"/>
    <n v="0.32999999999999996"/>
    <n v="0.22976079346557757"/>
    <n v="20"/>
    <n v="11"/>
    <n v="0.55000000000000004"/>
  </r>
  <r>
    <x v="0"/>
    <s v="(s) Leslie"/>
    <n v="2.5"/>
    <n v="0.23499999999999999"/>
    <n v="0"/>
    <n v="0.46500000000000008"/>
    <n v="0.23250000000000004"/>
    <n v="12"/>
    <n v="4"/>
    <n v="0.33333333333333331"/>
  </r>
  <r>
    <x v="3"/>
    <s v="(s)"/>
    <n v="2.5"/>
    <n v="0.23400000000000001"/>
    <n v="0"/>
    <n v="0.47"/>
    <n v="0.23499999999999999"/>
    <n v="18"/>
    <n v="12"/>
    <n v="0.66666666666666663"/>
  </r>
  <r>
    <x v="4"/>
    <s v="(s)"/>
    <n v="5.83"/>
    <n v="0.31"/>
    <n v="0.38856476079346558"/>
    <n v="9.000000000000008E-2"/>
    <n v="0.23928238039673283"/>
    <n v="12"/>
    <n v="7"/>
    <n v="0.58333333333333337"/>
  </r>
  <r>
    <x v="0"/>
    <s v="(s) Kathryn"/>
    <n v="3.33"/>
    <n v="0.251"/>
    <n v="9.6849474912485425E-2"/>
    <n v="0.38500000000000001"/>
    <n v="0.24092473745624271"/>
    <n v="15"/>
    <n v="6"/>
    <n v="0.4"/>
  </r>
  <r>
    <x v="7"/>
    <s v="(s)"/>
    <n v="3.61"/>
    <n v="0.25600000000000001"/>
    <n v="0.12952158693115517"/>
    <n v="0.36"/>
    <n v="0.24476079346557758"/>
    <n v="20"/>
    <n v="10"/>
    <n v="0.5"/>
  </r>
  <r>
    <x v="8"/>
    <s v="(s) Catrin Dowd"/>
    <n v="3.27"/>
    <n v="0.246"/>
    <n v="8.9848308051341891E-2"/>
    <n v="0.41000000000000003"/>
    <n v="0.24992415402567097"/>
    <n v="17"/>
    <n v="14"/>
    <n v="0.82352941176470584"/>
  </r>
  <r>
    <x v="0"/>
    <s v="(s)"/>
    <n v="2.5"/>
    <n v="0.22800000000000001"/>
    <n v="0"/>
    <n v="0.5"/>
    <n v="0.25"/>
    <n v="14"/>
    <n v="4"/>
    <n v="0.2857142857142857"/>
  </r>
  <r>
    <x v="3"/>
    <s v="(s)"/>
    <n v="3.06"/>
    <n v="0.24099999999999999"/>
    <n v="6.5344224037339554E-2"/>
    <n v="0.43500000000000005"/>
    <n v="0.25017211201866979"/>
    <n v="18"/>
    <n v="10"/>
    <n v="0.55555555555555558"/>
  </r>
  <r>
    <x v="9"/>
    <s v="(s) Tomal Hossain"/>
    <n v="5"/>
    <n v="0.28599999999999998"/>
    <n v="0.29171528588098017"/>
    <n v="0.21000000000000019"/>
    <n v="0.25085764294049018"/>
    <n v="17"/>
    <n v="6"/>
    <n v="0.35294117647058826"/>
  </r>
  <r>
    <x v="7"/>
    <s v="(s)"/>
    <n v="2.5"/>
    <n v="0.22700000000000001"/>
    <n v="0"/>
    <n v="0.505"/>
    <n v="0.2525"/>
    <n v="18"/>
    <n v="8"/>
    <n v="0.44444444444444442"/>
  </r>
  <r>
    <x v="2"/>
    <s v="(s)"/>
    <n v="3.75"/>
    <n v="0.255"/>
    <n v="0.14585764294049008"/>
    <n v="0.36499999999999999"/>
    <n v="0.25542882147024504"/>
    <n v="18"/>
    <n v="12"/>
    <n v="0.66666666666666663"/>
  </r>
  <r>
    <x v="2"/>
    <s v="(s)  Ting Chun Wang"/>
    <n v="3"/>
    <n v="0.23699999999999999"/>
    <n v="5.8343057176196034E-2"/>
    <n v="0.45500000000000007"/>
    <n v="0.25667152858809805"/>
    <n v="12"/>
    <n v="10"/>
    <n v="0.83333333333333337"/>
  </r>
  <r>
    <x v="3"/>
    <s v="(s)"/>
    <n v="4.17"/>
    <n v="0.26400000000000001"/>
    <n v="0.19486581096849473"/>
    <n v="0.31999999999999995"/>
    <n v="0.25743290548424735"/>
    <n v="18"/>
    <n v="10"/>
    <n v="0.55555555555555558"/>
  </r>
  <r>
    <x v="0"/>
    <s v="(s) Celeste"/>
    <n v="3.75"/>
    <n v="0.253"/>
    <n v="0.14585764294049008"/>
    <n v="0.375"/>
    <n v="0.26042882147024504"/>
    <n v="14"/>
    <n v="5"/>
    <n v="0.35714285714285715"/>
  </r>
  <r>
    <x v="2"/>
    <s v="(s)"/>
    <n v="5"/>
    <n v="0.28000000000000003"/>
    <n v="0.29171528588098017"/>
    <n v="0.23999999999999988"/>
    <n v="0.26585764294049002"/>
    <n v="15"/>
    <n v="13"/>
    <n v="0.8666666666666667"/>
  </r>
  <r>
    <x v="2"/>
    <s v="(s)"/>
    <n v="2.5"/>
    <n v="0.216"/>
    <n v="0"/>
    <n v="0.56000000000000005"/>
    <n v="0.28000000000000003"/>
    <n v="13"/>
    <n v="8"/>
    <n v="0.61538461538461542"/>
  </r>
  <r>
    <x v="10"/>
    <s v="(s) Catherine Sullivan"/>
    <n v="4.38"/>
    <n v="0.25900000000000001"/>
    <n v="0.21936989498249707"/>
    <n v="0.34499999999999997"/>
    <n v="0.28218494749124851"/>
    <n v="12"/>
    <n v="8"/>
    <n v="0.66666666666666663"/>
  </r>
  <r>
    <x v="3"/>
    <s v="(s)"/>
    <n v="2.5"/>
    <n v="0.215"/>
    <n v="0"/>
    <n v="0.56500000000000006"/>
    <n v="0.28250000000000003"/>
    <n v="18"/>
    <n v="9"/>
    <n v="0.5"/>
  </r>
  <r>
    <x v="11"/>
    <s v="(s)  Elizabeth Leopold"/>
    <n v="2.5"/>
    <n v="0.215"/>
    <n v="0"/>
    <n v="0.56500000000000006"/>
    <n v="0.28250000000000003"/>
    <n v="15"/>
    <n v="7"/>
    <n v="0.46666666666666667"/>
  </r>
  <r>
    <x v="1"/>
    <s v="(s) David New"/>
    <n v="4.6399999999999997"/>
    <n v="0.26400000000000001"/>
    <n v="0.24970828471411896"/>
    <n v="0.31999999999999995"/>
    <n v="0.28485414235705947"/>
    <n v="18"/>
    <n v="9"/>
    <n v="0.5"/>
  </r>
  <r>
    <x v="3"/>
    <s v="(s)"/>
    <n v="3.5"/>
    <n v="0.23699999999999999"/>
    <n v="0.11668611435239207"/>
    <n v="0.45500000000000007"/>
    <n v="0.28584305717619607"/>
    <n v="17"/>
    <n v="5"/>
    <n v="0.29411764705882354"/>
  </r>
  <r>
    <x v="12"/>
    <s v="(s)"/>
    <n v="2.5"/>
    <n v="0.21299999999999999"/>
    <n v="0"/>
    <n v="0.57500000000000007"/>
    <n v="0.28750000000000003"/>
    <n v="15"/>
    <n v="5"/>
    <n v="0.33333333333333331"/>
  </r>
  <r>
    <x v="4"/>
    <s v="(s)"/>
    <n v="6.25"/>
    <n v="0.29899999999999999"/>
    <n v="0.43757292882147025"/>
    <n v="0.14500000000000013"/>
    <n v="0.29128646441073519"/>
    <n v="12"/>
    <n v="8"/>
    <n v="0.66666666666666663"/>
  </r>
  <r>
    <x v="2"/>
    <s v="(s)"/>
    <n v="5"/>
    <n v="0.26900000000000002"/>
    <n v="0.29171528588098017"/>
    <n v="0.29499999999999993"/>
    <n v="0.29335764294049005"/>
    <n v="16"/>
    <n v="9"/>
    <n v="0.5625"/>
  </r>
  <r>
    <x v="9"/>
    <s v="(s) Erol Koymen"/>
    <n v="3.33"/>
    <n v="0.23"/>
    <n v="9.6849474912485425E-2"/>
    <n v="0.49"/>
    <n v="0.2934247374562427"/>
    <n v="14"/>
    <n v="7"/>
    <n v="0.5"/>
  </r>
  <r>
    <x v="7"/>
    <s v="(s)"/>
    <n v="3.33"/>
    <n v="0.22800000000000001"/>
    <n v="9.6849474912485425E-2"/>
    <n v="0.5"/>
    <n v="0.29842473745624271"/>
    <n v="17"/>
    <n v="7"/>
    <n v="0.41176470588235292"/>
  </r>
  <r>
    <x v="13"/>
    <s v="(s) Anh Vu"/>
    <n v="3.33"/>
    <n v="0.22800000000000001"/>
    <n v="9.6849474912485425E-2"/>
    <n v="0.5"/>
    <n v="0.29842473745624271"/>
    <n v="15"/>
    <n v="7"/>
    <n v="0.46666666666666667"/>
  </r>
  <r>
    <x v="3"/>
    <s v="(s)"/>
    <n v="3.33"/>
    <n v="0.22800000000000001"/>
    <n v="9.6849474912485425E-2"/>
    <n v="0.5"/>
    <n v="0.29842473745624271"/>
    <n v="18"/>
    <n v="7"/>
    <n v="0.3888888888888889"/>
  </r>
  <r>
    <x v="2"/>
    <s v="(s)"/>
    <n v="3"/>
    <n v="0.22"/>
    <n v="5.8343057176196034E-2"/>
    <n v="0.54"/>
    <n v="0.29917152858809803"/>
    <n v="16"/>
    <n v="10"/>
    <n v="0.625"/>
  </r>
  <r>
    <x v="14"/>
    <s v="(s) Audrey Slote"/>
    <n v="3.75"/>
    <n v="0.23699999999999999"/>
    <n v="0.14585764294049008"/>
    <n v="0.45500000000000007"/>
    <n v="0.30042882147024508"/>
    <n v="19"/>
    <n v="13"/>
    <n v="0.68421052631578949"/>
  </r>
  <r>
    <x v="9"/>
    <s v="(s) Emily Williams"/>
    <n v="4.42"/>
    <n v="0.248"/>
    <n v="0.22403733955659275"/>
    <n v="0.4"/>
    <n v="0.3120186697782964"/>
    <n v="19"/>
    <n v="14"/>
    <n v="0.73684210526315785"/>
  </r>
  <r>
    <x v="6"/>
    <s v="(s)  Tara Willis"/>
    <n v="4.17"/>
    <n v="0.24199999999999999"/>
    <n v="0.19486581096849473"/>
    <n v="0.43000000000000005"/>
    <n v="0.3124329054842474"/>
    <n v="14"/>
    <n v="9"/>
    <n v="0.6428571428571429"/>
  </r>
  <r>
    <x v="10"/>
    <s v="(s) Jason Salavon"/>
    <n v="3.33"/>
    <n v="0.222"/>
    <n v="9.6849474912485425E-2"/>
    <n v="0.53"/>
    <n v="0.31342473745624272"/>
    <n v="12"/>
    <n v="6"/>
    <n v="0.5"/>
  </r>
  <r>
    <x v="2"/>
    <s v="(s)"/>
    <n v="3.93"/>
    <n v="0.23400000000000001"/>
    <n v="0.16686114352392067"/>
    <n v="0.47"/>
    <n v="0.31843057176196032"/>
    <n v="16"/>
    <n v="8"/>
    <n v="0.5"/>
  </r>
  <r>
    <x v="3"/>
    <s v="(s)"/>
    <n v="3.5"/>
    <n v="0.222"/>
    <n v="0.11668611435239207"/>
    <n v="0.53"/>
    <n v="0.32334305717619605"/>
    <n v="18"/>
    <n v="5"/>
    <n v="0.27777777777777779"/>
  </r>
  <r>
    <x v="2"/>
    <s v="(s)"/>
    <n v="2.5"/>
    <n v="0.19800000000000001"/>
    <n v="0"/>
    <n v="0.64999999999999991"/>
    <n v="0.32499999999999996"/>
    <n v="15"/>
    <n v="6"/>
    <n v="0.4"/>
  </r>
  <r>
    <x v="2"/>
    <s v="(s)"/>
    <n v="4.17"/>
    <n v="0.23499999999999999"/>
    <n v="0.19486581096849473"/>
    <n v="0.46500000000000008"/>
    <n v="0.32993290548424742"/>
    <n v="16"/>
    <n v="6"/>
    <n v="0.375"/>
  </r>
  <r>
    <x v="0"/>
    <s v="(s)  Shade"/>
    <n v="3.75"/>
    <n v="0.223"/>
    <n v="0.14585764294049008"/>
    <n v="0.52500000000000002"/>
    <n v="0.33542882147024505"/>
    <n v="12"/>
    <n v="8"/>
    <n v="0.66666666666666663"/>
  </r>
  <r>
    <x v="4"/>
    <s v="(s)"/>
    <n v="5"/>
    <n v="0.252"/>
    <n v="0.29171528588098017"/>
    <n v="0.38"/>
    <n v="0.33585764294049009"/>
    <n v="12"/>
    <n v="5"/>
    <n v="0.41666666666666669"/>
  </r>
  <r>
    <x v="7"/>
    <s v="(s)"/>
    <n v="3.93"/>
    <n v="0.22700000000000001"/>
    <n v="0.16686114352392067"/>
    <n v="0.505"/>
    <n v="0.33593057176196034"/>
    <n v="18"/>
    <n v="7"/>
    <n v="0.3888888888888889"/>
  </r>
  <r>
    <x v="11"/>
    <s v="(s) Elizabeth Leopold"/>
    <n v="3.61"/>
    <n v="0.217"/>
    <n v="0.12952158693115517"/>
    <n v="0.55500000000000005"/>
    <n v="0.34226079346557758"/>
    <n v="13"/>
    <n v="9"/>
    <n v="0.69230769230769229"/>
  </r>
  <r>
    <x v="2"/>
    <s v="(s)"/>
    <n v="4.38"/>
    <n v="0.23300000000000001"/>
    <n v="0.21936989498249707"/>
    <n v="0.47499999999999998"/>
    <n v="0.34718494749124851"/>
    <n v="14"/>
    <n v="9"/>
    <n v="0.6428571428571429"/>
  </r>
  <r>
    <x v="9"/>
    <s v="(s)  Anna Schultz"/>
    <n v="4"/>
    <n v="0.223"/>
    <n v="0.1750291715285881"/>
    <n v="0.52500000000000002"/>
    <n v="0.35001458576429406"/>
    <n v="19"/>
    <n v="10"/>
    <n v="0.52631578947368418"/>
  </r>
  <r>
    <x v="0"/>
    <s v="(s)"/>
    <n v="3.5"/>
    <n v="0.21"/>
    <n v="0.11668611435239207"/>
    <n v="0.59000000000000008"/>
    <n v="0.35334305717619607"/>
    <n v="14"/>
    <n v="5"/>
    <n v="0.35714285714285715"/>
  </r>
  <r>
    <x v="11"/>
    <s v="(s) Julia Rhoads"/>
    <n v="6.25"/>
    <n v="0.27300000000000002"/>
    <n v="0.43757292882147025"/>
    <n v="0.27499999999999991"/>
    <n v="0.35628646441073508"/>
    <n v="16"/>
    <n v="12"/>
    <n v="0.75"/>
  </r>
  <r>
    <x v="10"/>
    <s v="(s)  Jason Salavon"/>
    <n v="4.38"/>
    <n v="0.22800000000000001"/>
    <n v="0.21936989498249707"/>
    <n v="0.5"/>
    <n v="0.35968494749124852"/>
    <n v="14"/>
    <n v="8"/>
    <n v="0.5714285714285714"/>
  </r>
  <r>
    <x v="6"/>
    <s v="(s) Tara Willis"/>
    <n v="5.5"/>
    <n v="0.254"/>
    <n v="0.3500583430571762"/>
    <n v="0.37"/>
    <n v="0.3600291715285881"/>
    <n v="13"/>
    <n v="5"/>
    <n v="0.38461538461538464"/>
  </r>
  <r>
    <x v="14"/>
    <s v="(s)  Tomal Hossain"/>
    <n v="2.5"/>
    <n v="0.183"/>
    <n v="0"/>
    <n v="0.72500000000000009"/>
    <n v="0.36250000000000004"/>
    <n v="18"/>
    <n v="5"/>
    <n v="0.27777777777777779"/>
  </r>
  <r>
    <x v="7"/>
    <s v="(s)"/>
    <n v="3.75"/>
    <n v="0.21199999999999999"/>
    <n v="0.14585764294049008"/>
    <n v="0.58000000000000007"/>
    <n v="0.36292882147024508"/>
    <n v="16"/>
    <n v="9"/>
    <n v="0.5625"/>
  </r>
  <r>
    <x v="2"/>
    <s v="(s)"/>
    <n v="4.5"/>
    <n v="0.22900000000000001"/>
    <n v="0.23337222870478413"/>
    <n v="0.495"/>
    <n v="0.36418611435239207"/>
    <n v="15"/>
    <n v="6"/>
    <n v="0.4"/>
  </r>
  <r>
    <x v="7"/>
    <s v="(s)"/>
    <n v="4.17"/>
    <n v="0.221"/>
    <n v="0.19486581096849473"/>
    <n v="0.53500000000000003"/>
    <n v="0.36493290548424739"/>
    <n v="19"/>
    <n v="9"/>
    <n v="0.47368421052631576"/>
  </r>
  <r>
    <x v="10"/>
    <s v="(s) Catherine Sullivan"/>
    <n v="3.75"/>
    <n v="0.21099999999999999"/>
    <n v="0.14585764294049008"/>
    <n v="0.58500000000000008"/>
    <n v="0.36542882147024508"/>
    <n v="10"/>
    <n v="4"/>
    <n v="0.4"/>
  </r>
  <r>
    <x v="0"/>
    <s v="(s) Heidi"/>
    <n v="4.17"/>
    <n v="0.22"/>
    <n v="0.19486581096849473"/>
    <n v="0.54"/>
    <n v="0.3674329054842474"/>
    <n v="17"/>
    <n v="9"/>
    <n v="0.52941176470588236"/>
  </r>
  <r>
    <x v="8"/>
    <s v="(s) Martha Feldman"/>
    <n v="3.75"/>
    <n v="0.21"/>
    <n v="0.14585764294049008"/>
    <n v="0.59000000000000008"/>
    <n v="0.36792882147024508"/>
    <n v="19"/>
    <n v="10"/>
    <n v="0.52631578947368418"/>
  </r>
  <r>
    <x v="9"/>
    <s v="(s) Fiona Boyd"/>
    <n v="3.06"/>
    <n v="0.193"/>
    <n v="6.5344224037339554E-2"/>
    <n v="0.67500000000000004"/>
    <n v="0.37017211201866979"/>
    <n v="18"/>
    <n v="10"/>
    <n v="0.55555555555555558"/>
  </r>
  <r>
    <x v="1"/>
    <s v="(s)  David New"/>
    <n v="4.5"/>
    <n v="0.22600000000000001"/>
    <n v="0.23337222870478413"/>
    <n v="0.51"/>
    <n v="0.37168611435239207"/>
    <n v="18"/>
    <n v="10"/>
    <n v="0.55555555555555558"/>
  </r>
  <r>
    <x v="10"/>
    <s v="(s)  Qiuchen Wu"/>
    <n v="4.5"/>
    <n v="0.224"/>
    <n v="0.23337222870478413"/>
    <n v="0.52"/>
    <n v="0.37668611435239208"/>
    <n v="9"/>
    <n v="5"/>
    <n v="0.55555555555555558"/>
  </r>
  <r>
    <x v="12"/>
    <s v="(s)"/>
    <n v="2.86"/>
    <n v="0.182"/>
    <n v="4.2007001166861124E-2"/>
    <n v="0.73"/>
    <n v="0.38600350058343058"/>
    <n v="16"/>
    <n v="14"/>
    <n v="0.875"/>
  </r>
  <r>
    <x v="2"/>
    <s v="(s)  Wilson Yerxa"/>
    <n v="6.94"/>
    <n v="0.27700000000000002"/>
    <n v="0.51808634772462081"/>
    <n v="0.25499999999999989"/>
    <n v="0.38654317386231035"/>
    <n v="17"/>
    <n v="11"/>
    <n v="0.6470588235294118"/>
  </r>
  <r>
    <x v="8"/>
    <s v="(s)  Paula Harper"/>
    <n v="3.5"/>
    <n v="0.19600000000000001"/>
    <n v="0.11668611435239207"/>
    <n v="0.65999999999999992"/>
    <n v="0.38834305717619599"/>
    <n v="17"/>
    <n v="7"/>
    <n v="0.41176470588235292"/>
  </r>
  <r>
    <x v="9"/>
    <s v="(s)  Patrick Murphy"/>
    <n v="5"/>
    <n v="0.22600000000000001"/>
    <n v="0.29171528588098017"/>
    <n v="0.51"/>
    <n v="0.40085764294049009"/>
    <n v="28"/>
    <n v="5"/>
    <n v="0.17857142857142858"/>
  </r>
  <r>
    <x v="2"/>
    <s v="(s)"/>
    <n v="5"/>
    <n v="0.223"/>
    <n v="0.29171528588098017"/>
    <n v="0.52500000000000002"/>
    <n v="0.4083576429404901"/>
    <n v="13"/>
    <n v="8"/>
    <n v="0.61538461538461542"/>
  </r>
  <r>
    <x v="9"/>
    <s v="(s)  Jessica Baker"/>
    <n v="2.5"/>
    <n v="0.16300000000000001"/>
    <n v="0"/>
    <n v="0.82499999999999996"/>
    <n v="0.41249999999999998"/>
    <n v="20"/>
    <n v="9"/>
    <n v="0.45"/>
  </r>
  <r>
    <x v="7"/>
    <s v="(s)  John"/>
    <n v="3.33"/>
    <n v="0.182"/>
    <n v="9.6849474912485425E-2"/>
    <n v="0.73"/>
    <n v="0.4134247374562427"/>
    <n v="17"/>
    <n v="8"/>
    <n v="0.47058823529411764"/>
  </r>
  <r>
    <x v="14"/>
    <s v="(s) Jacob Reed"/>
    <n v="6.25"/>
    <n v="0.25"/>
    <n v="0.43757292882147025"/>
    <n v="0.39"/>
    <n v="0.41378646441073513"/>
    <n v="15"/>
    <n v="5"/>
    <n v="0.33333333333333331"/>
  </r>
  <r>
    <x v="8"/>
    <s v="(s) Melani Shahin"/>
    <n v="4.17"/>
    <n v="0.20100000000000001"/>
    <n v="0.19486581096849473"/>
    <n v="0.63500000000000001"/>
    <n v="0.41493290548424738"/>
    <n v="17"/>
    <n v="9"/>
    <n v="0.52941176470588236"/>
  </r>
  <r>
    <x v="13"/>
    <s v="(s)  Anh Vu"/>
    <n v="5.42"/>
    <n v="0.22900000000000001"/>
    <n v="0.34072345390898479"/>
    <n v="0.495"/>
    <n v="0.41786172695449242"/>
    <n v="17"/>
    <n v="12"/>
    <n v="0.70588235294117652"/>
  </r>
  <r>
    <x v="7"/>
    <s v="(s)"/>
    <n v="4.7699999999999996"/>
    <n v="0.21199999999999999"/>
    <n v="0.26487747957992991"/>
    <n v="0.58000000000000007"/>
    <n v="0.42243873978996499"/>
    <n v="18"/>
    <n v="11"/>
    <n v="0.61111111111111116"/>
  </r>
  <r>
    <x v="13"/>
    <s v="(s) Anh Vu"/>
    <n v="5.42"/>
    <n v="0.22700000000000001"/>
    <n v="0.34072345390898479"/>
    <n v="0.505"/>
    <n v="0.42286172695449242"/>
    <n v="19"/>
    <n v="12"/>
    <n v="0.63157894736842102"/>
  </r>
  <r>
    <x v="9"/>
    <s v="(s)  Christopher Batterman Chairez"/>
    <n v="3.61"/>
    <n v="0.184"/>
    <n v="0.12952158693115517"/>
    <n v="0.72"/>
    <n v="0.4247607934655776"/>
    <n v="17"/>
    <n v="9"/>
    <n v="0.52941176470588236"/>
  </r>
  <r>
    <x v="8"/>
    <s v="(s)  Anne Monique Pace"/>
    <n v="4.17"/>
    <n v="0.19700000000000001"/>
    <n v="0.19486581096849473"/>
    <n v="0.65500000000000003"/>
    <n v="0.42493290548424739"/>
    <n v="18"/>
    <n v="6"/>
    <n v="0.33333333333333331"/>
  </r>
  <r>
    <x v="0"/>
    <s v="(s) Shade"/>
    <n v="3.5"/>
    <n v="0.18099999999999999"/>
    <n v="0.11668611435239207"/>
    <n v="0.7350000000000001"/>
    <n v="0.42584305717619608"/>
    <n v="15"/>
    <n v="12"/>
    <n v="0.8"/>
  </r>
  <r>
    <x v="2"/>
    <s v="(s)"/>
    <n v="6.07"/>
    <n v="0.24"/>
    <n v="0.41656942823803972"/>
    <n v="0.44000000000000006"/>
    <n v="0.42828471411901992"/>
    <n v="16"/>
    <n v="8"/>
    <n v="0.5"/>
  </r>
  <r>
    <x v="7"/>
    <s v="(s)"/>
    <n v="3.61"/>
    <n v="0.18"/>
    <n v="0.12952158693115517"/>
    <n v="0.74"/>
    <n v="0.43476079346557761"/>
    <n v="17"/>
    <n v="9"/>
    <n v="0.52941176470588236"/>
  </r>
  <r>
    <x v="2"/>
    <s v="(s)"/>
    <n v="5.83"/>
    <n v="0.22900000000000001"/>
    <n v="0.38856476079346558"/>
    <n v="0.495"/>
    <n v="0.44178238039673279"/>
    <n v="14"/>
    <n v="3"/>
    <n v="0.21428571428571427"/>
  </r>
  <r>
    <x v="8"/>
    <s v="(s)  Paula Harper"/>
    <n v="5"/>
    <n v="0.20899999999999999"/>
    <n v="0.29171528588098017"/>
    <n v="0.59500000000000008"/>
    <n v="0.44335764294049013"/>
    <n v="17"/>
    <n v="6"/>
    <n v="0.35294117647058826"/>
  </r>
  <r>
    <x v="13"/>
    <s v="(s)  Paul Novak"/>
    <n v="5.28"/>
    <n v="0.215"/>
    <n v="0.32438739789964999"/>
    <n v="0.56500000000000006"/>
    <n v="0.44469369894982502"/>
    <n v="16"/>
    <n v="9"/>
    <n v="0.5625"/>
  </r>
  <r>
    <x v="3"/>
    <s v="(s)"/>
    <n v="2.5"/>
    <n v="0.15"/>
    <n v="0"/>
    <n v="0.89"/>
    <n v="0.44500000000000001"/>
    <n v="18"/>
    <n v="6"/>
    <n v="0.33333333333333331"/>
  </r>
  <r>
    <x v="2"/>
    <s v="(s)"/>
    <n v="2.5"/>
    <n v="0.14899999999999999"/>
    <n v="0"/>
    <n v="0.89500000000000002"/>
    <n v="0.44750000000000001"/>
    <n v="13"/>
    <n v="4"/>
    <n v="0.30769230769230771"/>
  </r>
  <r>
    <x v="8"/>
    <s v="(s)  Devon Borowski"/>
    <n v="5.36"/>
    <n v="0.21299999999999999"/>
    <n v="0.33372228704784135"/>
    <n v="0.57500000000000007"/>
    <n v="0.45436114352392071"/>
    <n v="17"/>
    <n v="8"/>
    <n v="0.47058823529411764"/>
  </r>
  <r>
    <x v="13"/>
    <s v="(s) Andrew Stock"/>
    <n v="4.38"/>
    <n v="0.19"/>
    <n v="0.21936989498249707"/>
    <n v="0.69"/>
    <n v="0.45468494749124849"/>
    <n v="15"/>
    <n v="8"/>
    <n v="0.53333333333333333"/>
  </r>
  <r>
    <x v="14"/>
    <s v="(s) Florian Walch"/>
    <n v="5.68"/>
    <n v="0.22"/>
    <n v="0.37106184364060674"/>
    <n v="0.54"/>
    <n v="0.45553092182030341"/>
    <n v="16"/>
    <n v="11"/>
    <n v="0.6875"/>
  </r>
  <r>
    <x v="12"/>
    <s v="(s)"/>
    <n v="4.17"/>
    <n v="0.18099999999999999"/>
    <n v="0.19486581096849473"/>
    <n v="0.7350000000000001"/>
    <n v="0.46493290548424743"/>
    <n v="11"/>
    <n v="3"/>
    <n v="0.27272727272727271"/>
  </r>
  <r>
    <x v="4"/>
    <s v="(s)"/>
    <n v="7"/>
    <n v="0.24299999999999999"/>
    <n v="0.5250875145857643"/>
    <n v="0.42500000000000004"/>
    <n v="0.47504375729288217"/>
    <n v="12"/>
    <n v="10"/>
    <n v="0.83333333333333337"/>
  </r>
  <r>
    <x v="2"/>
    <s v="(s)"/>
    <n v="5.83"/>
    <n v="0.21299999999999999"/>
    <n v="0.38856476079346558"/>
    <n v="0.57500000000000007"/>
    <n v="0.48178238039673282"/>
    <n v="15"/>
    <n v="9"/>
    <n v="0.6"/>
  </r>
  <r>
    <x v="7"/>
    <s v="(s)"/>
    <n v="4.17"/>
    <n v="0.17399999999999999"/>
    <n v="0.19486581096849473"/>
    <n v="0.77"/>
    <n v="0.48243290548424739"/>
    <n v="20"/>
    <n v="11"/>
    <n v="0.55000000000000004"/>
  </r>
  <r>
    <x v="0"/>
    <s v="(s) Pamela"/>
    <n v="6.94"/>
    <n v="0.23799999999999999"/>
    <n v="0.51808634772462081"/>
    <n v="0.45000000000000007"/>
    <n v="0.48404317386231044"/>
    <n v="14"/>
    <n v="9"/>
    <n v="0.6428571428571429"/>
  </r>
  <r>
    <x v="13"/>
    <s v="(s)  Anh Vu"/>
    <n v="7.5"/>
    <n v="0.251"/>
    <n v="0.58343057176196034"/>
    <n v="0.38500000000000001"/>
    <n v="0.48421528588098017"/>
    <n v="17"/>
    <n v="11"/>
    <n v="0.6470588235294118"/>
  </r>
  <r>
    <x v="6"/>
    <s v="(s)  Clara Nizard"/>
    <n v="2.5"/>
    <n v="0.13200000000000001"/>
    <n v="0"/>
    <n v="0.98"/>
    <n v="0.49"/>
    <n v="14"/>
    <n v="6"/>
    <n v="0.42857142857142855"/>
  </r>
  <r>
    <x v="10"/>
    <s v="(s) Caitlyn Au"/>
    <n v="6.25"/>
    <n v="0.21299999999999999"/>
    <n v="0.43757292882147025"/>
    <n v="0.57500000000000007"/>
    <n v="0.50628646441073522"/>
    <n v="14"/>
    <n v="5"/>
    <n v="0.35714285714285715"/>
  </r>
  <r>
    <x v="13"/>
    <s v="(s)  Sean Shepherd"/>
    <n v="3.33"/>
    <n v="0.14299999999999999"/>
    <n v="9.6849474912485425E-2"/>
    <n v="0.92500000000000004"/>
    <n v="0.51092473745624278"/>
    <n v="17"/>
    <n v="9"/>
    <n v="0.52941176470588236"/>
  </r>
  <r>
    <x v="10"/>
    <s v="(s) Wilson Yerxa"/>
    <n v="6.07"/>
    <n v="0.20100000000000001"/>
    <n v="0.41656942823803972"/>
    <n v="0.63500000000000001"/>
    <n v="0.52578471411901984"/>
    <n v="15"/>
    <n v="7"/>
    <n v="0.46666666666666667"/>
  </r>
  <r>
    <x v="12"/>
    <s v="(s)"/>
    <n v="4.6399999999999997"/>
    <n v="0.16500000000000001"/>
    <n v="0.24970828471411896"/>
    <n v="0.81499999999999995"/>
    <n v="0.53235414235705947"/>
    <n v="12"/>
    <n v="7"/>
    <n v="0.58333333333333337"/>
  </r>
  <r>
    <x v="12"/>
    <s v="(s)"/>
    <n v="3.93"/>
    <n v="0.14599999999999999"/>
    <n v="0.16686114352392067"/>
    <n v="0.91"/>
    <n v="0.53843057176196041"/>
    <n v="9"/>
    <n v="8"/>
    <n v="0.88888888888888884"/>
  </r>
  <r>
    <x v="7"/>
    <s v="(s)"/>
    <n v="4.5"/>
    <n v="0.156"/>
    <n v="0.23337222870478413"/>
    <n v="0.86"/>
    <n v="0.54668611435239201"/>
    <n v="18"/>
    <n v="13"/>
    <n v="0.72222222222222221"/>
  </r>
  <r>
    <x v="14"/>
    <s v="(s)  Jennifer Iverson"/>
    <n v="5.62"/>
    <n v="0.182"/>
    <n v="0.36406067677946324"/>
    <n v="0.73"/>
    <n v="0.54703033838973159"/>
    <n v="17"/>
    <n v="8"/>
    <n v="0.47058823529411764"/>
  </r>
  <r>
    <x v="2"/>
    <s v="(s)  Serena Himmelfarb"/>
    <n v="5.83"/>
    <n v="0.182"/>
    <n v="0.38856476079346558"/>
    <n v="0.73"/>
    <n v="0.55928238039673284"/>
    <n v="4"/>
    <n v="3"/>
    <n v="0.75"/>
  </r>
  <r>
    <x v="14"/>
    <s v="(s) Florian Walch"/>
    <n v="6.07"/>
    <n v="0.187"/>
    <n v="0.41656942823803972"/>
    <n v="0.70500000000000007"/>
    <n v="0.56078471411901987"/>
    <n v="20"/>
    <n v="7"/>
    <n v="0.35"/>
  </r>
  <r>
    <x v="2"/>
    <s v="(s)"/>
    <n v="5"/>
    <n v="0.161"/>
    <n v="0.29171528588098017"/>
    <n v="0.83499999999999996"/>
    <n v="0.56335764294049007"/>
    <n v="15"/>
    <n v="7"/>
    <n v="0.46666666666666667"/>
  </r>
  <r>
    <x v="2"/>
    <s v="(s)"/>
    <n v="3.75"/>
    <n v="0.128"/>
    <n v="0.14585764294049008"/>
    <n v="1"/>
    <n v="0.57292882147024504"/>
    <n v="14"/>
    <n v="9"/>
    <n v="0.6428571428571429"/>
  </r>
  <r>
    <x v="2"/>
    <s v="(s)"/>
    <n v="7.5"/>
    <n v="0.20200000000000001"/>
    <n v="0.58343057176196034"/>
    <n v="0.62999999999999989"/>
    <n v="0.60671528588098012"/>
    <n v="14"/>
    <n v="9"/>
    <n v="0.6428571428571429"/>
  </r>
  <r>
    <x v="2"/>
    <s v="(s)"/>
    <n v="9.17"/>
    <n v="0.23799999999999999"/>
    <n v="0.77829638273045509"/>
    <n v="0.45000000000000007"/>
    <n v="0.61414819136522758"/>
    <n v="5"/>
    <n v="3"/>
    <n v="0.6"/>
  </r>
  <r>
    <x v="9"/>
    <s v="(s) Travis Jackson"/>
    <n v="5.5"/>
    <n v="0.14799999999999999"/>
    <n v="0.3500583430571762"/>
    <n v="0.9"/>
    <n v="0.62502917152858806"/>
    <n v="13"/>
    <n v="5"/>
    <n v="0.38461538461538464"/>
  </r>
  <r>
    <x v="2"/>
    <s v="(s)"/>
    <n v="8.5"/>
    <n v="0.20899999999999999"/>
    <n v="0.7001166861143524"/>
    <n v="0.59500000000000008"/>
    <n v="0.6475583430571763"/>
    <n v="17"/>
    <n v="8"/>
    <n v="0.47058823529411764"/>
  </r>
  <r>
    <x v="8"/>
    <s v="(s) Devon Borowski"/>
    <n v="9.17"/>
    <n v="0.219"/>
    <n v="0.77829638273045509"/>
    <n v="0.54500000000000004"/>
    <n v="0.66164819136522757"/>
    <n v="14"/>
    <n v="6"/>
    <n v="0.42857142857142855"/>
  </r>
  <r>
    <x v="12"/>
    <s v="(s)"/>
    <n v="8.61"/>
    <n v="0.20100000000000001"/>
    <n v="0.71295215869311546"/>
    <n v="0.63500000000000001"/>
    <n v="0.67397607934655768"/>
    <n v="12"/>
    <n v="9"/>
    <n v="0.75"/>
  </r>
  <r>
    <x v="2"/>
    <s v="(s)"/>
    <n v="11.07"/>
    <n v="0.16200000000000001"/>
    <n v="1"/>
    <n v="0.83"/>
    <n v="0.91500000000000004"/>
    <n v="10"/>
    <n v="7"/>
    <n v="0.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6512F-FF56-F84E-9379-B27241019847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E19" firstHeaderRow="0" firstDataRow="1" firstDataCol="1"/>
  <pivotFields count="10">
    <pivotField axis="axisRow" showAll="0" sortType="ascending">
      <items count="16">
        <item x="5"/>
        <item x="2"/>
        <item x="12"/>
        <item x="10"/>
        <item x="3"/>
        <item x="4"/>
        <item x="8"/>
        <item x="9"/>
        <item x="13"/>
        <item x="14"/>
        <item x="1"/>
        <item x="0"/>
        <item x="7"/>
        <item x="11"/>
        <item x="6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165" showAll="0"/>
    <pivotField dataField="1" numFmtId="165" showAll="0"/>
    <pivotField numFmtId="165" showAll="0"/>
    <pivotField numFmtId="165" showAll="0"/>
    <pivotField dataField="1" numFmtId="165" showAll="0"/>
    <pivotField numFmtId="1" showAll="0"/>
    <pivotField numFmtId="1" showAll="0"/>
    <pivotField dataField="1" numFmtId="9" showAll="0"/>
  </pivotFields>
  <rowFields count="1">
    <field x="0"/>
  </rowFields>
  <rowItems count="16">
    <i>
      <x/>
    </i>
    <i>
      <x v="10"/>
    </i>
    <i>
      <x v="4"/>
    </i>
    <i>
      <x v="5"/>
    </i>
    <i>
      <x v="11"/>
    </i>
    <i>
      <x v="14"/>
    </i>
    <i>
      <x v="13"/>
    </i>
    <i>
      <x v="12"/>
    </i>
    <i>
      <x v="7"/>
    </i>
    <i>
      <x v="3"/>
    </i>
    <i>
      <x v="1"/>
    </i>
    <i>
      <x v="6"/>
    </i>
    <i>
      <x v="8"/>
    </i>
    <i>
      <x v="9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Response Rate" fld="9" subtotal="average" baseField="0" baseItem="0" numFmtId="9"/>
    <dataField name="Average of Sentiment Score" fld="3" subtotal="average" baseField="0" baseItem="0" numFmtId="165"/>
    <dataField name="Average of Avg Hours" fld="2" subtotal="average" baseField="0" baseItem="0" numFmtId="165"/>
    <dataField name="Average of Final Difficulty Score" fld="6" subtotal="average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58D9C-4D2F-8E4E-B815-A9FA8834589C}">
  <dimension ref="A3:E19"/>
  <sheetViews>
    <sheetView topLeftCell="A2" zoomScale="194" workbookViewId="0">
      <selection activeCell="A7" sqref="A7"/>
    </sheetView>
  </sheetViews>
  <sheetFormatPr baseColWidth="10" defaultRowHeight="16" x14ac:dyDescent="0.2"/>
  <cols>
    <col min="1" max="1" width="13" bestFit="1" customWidth="1"/>
    <col min="2" max="2" width="22.83203125" bestFit="1" customWidth="1"/>
    <col min="3" max="3" width="24" bestFit="1" customWidth="1"/>
    <col min="4" max="4" width="18.6640625" bestFit="1" customWidth="1"/>
    <col min="5" max="5" width="27.6640625" bestFit="1" customWidth="1"/>
  </cols>
  <sheetData>
    <row r="3" spans="1:5" x14ac:dyDescent="0.2">
      <c r="A3" s="8" t="s">
        <v>85</v>
      </c>
      <c r="B3" t="s">
        <v>81</v>
      </c>
      <c r="C3" t="s">
        <v>82</v>
      </c>
      <c r="D3" t="s">
        <v>83</v>
      </c>
      <c r="E3" t="s">
        <v>84</v>
      </c>
    </row>
    <row r="4" spans="1:5" x14ac:dyDescent="0.2">
      <c r="A4" s="11" t="s">
        <v>65</v>
      </c>
      <c r="B4" s="9">
        <v>0.38947368421052631</v>
      </c>
      <c r="C4" s="10">
        <v>0.29399999999999998</v>
      </c>
      <c r="D4" s="10">
        <v>3.44</v>
      </c>
      <c r="E4" s="10">
        <v>0.13984247374562433</v>
      </c>
    </row>
    <row r="5" spans="1:5" x14ac:dyDescent="0.2">
      <c r="A5" s="11" t="s">
        <v>38</v>
      </c>
      <c r="B5" s="9">
        <v>0.47510893246187358</v>
      </c>
      <c r="C5" s="10">
        <v>0.27166666666666667</v>
      </c>
      <c r="D5" s="10">
        <v>3.6799999999999997</v>
      </c>
      <c r="E5" s="10">
        <v>0.20967814080124461</v>
      </c>
    </row>
    <row r="6" spans="1:5" x14ac:dyDescent="0.2">
      <c r="A6" s="11" t="s">
        <v>22</v>
      </c>
      <c r="B6" s="9">
        <v>0.48415810768751943</v>
      </c>
      <c r="C6" s="10">
        <v>0.25259999999999999</v>
      </c>
      <c r="D6" s="10">
        <v>3.3186666666666667</v>
      </c>
      <c r="E6" s="10">
        <v>0.23626351614157917</v>
      </c>
    </row>
    <row r="7" spans="1:5" x14ac:dyDescent="0.2">
      <c r="A7" s="11" t="s">
        <v>31</v>
      </c>
      <c r="B7" s="9">
        <v>0.65625</v>
      </c>
      <c r="C7" s="10">
        <v>0.28875000000000001</v>
      </c>
      <c r="D7" s="10">
        <v>4.9275000000000002</v>
      </c>
      <c r="E7" s="10">
        <v>0.23975277129521588</v>
      </c>
    </row>
    <row r="8" spans="1:5" x14ac:dyDescent="0.2">
      <c r="A8" s="11" t="s">
        <v>6</v>
      </c>
      <c r="B8" s="9">
        <v>0.46450216450216453</v>
      </c>
      <c r="C8" s="10">
        <v>0.23654545454545453</v>
      </c>
      <c r="D8" s="10">
        <v>3.5399999999999996</v>
      </c>
      <c r="E8" s="10">
        <v>0.28931314309960759</v>
      </c>
    </row>
    <row r="9" spans="1:5" x14ac:dyDescent="0.2">
      <c r="A9" s="11" t="s">
        <v>32</v>
      </c>
      <c r="B9" s="9">
        <v>0.61043956043956038</v>
      </c>
      <c r="C9" s="10">
        <v>0.23120000000000002</v>
      </c>
      <c r="D9" s="10">
        <v>3.6139999999999999</v>
      </c>
      <c r="E9" s="10">
        <v>0.30699416569428239</v>
      </c>
    </row>
    <row r="10" spans="1:5" x14ac:dyDescent="0.2">
      <c r="A10" s="11" t="s">
        <v>15</v>
      </c>
      <c r="B10" s="9">
        <v>0.63632478632478628</v>
      </c>
      <c r="C10" s="10">
        <v>0.23500000000000001</v>
      </c>
      <c r="D10" s="10">
        <v>4.12</v>
      </c>
      <c r="E10" s="10">
        <v>0.32701575262543758</v>
      </c>
    </row>
    <row r="11" spans="1:5" x14ac:dyDescent="0.2">
      <c r="A11" s="11" t="s">
        <v>24</v>
      </c>
      <c r="B11" s="9">
        <v>0.53539270971546515</v>
      </c>
      <c r="C11" s="10">
        <v>0.22085714285714289</v>
      </c>
      <c r="D11" s="10">
        <v>3.7800000000000002</v>
      </c>
      <c r="E11" s="10">
        <v>0.34253625604267374</v>
      </c>
    </row>
    <row r="12" spans="1:5" x14ac:dyDescent="0.2">
      <c r="A12" s="11" t="s">
        <v>13</v>
      </c>
      <c r="B12" s="9">
        <v>0.46825035607285348</v>
      </c>
      <c r="C12" s="10">
        <v>0.2112222222222222</v>
      </c>
      <c r="D12" s="10">
        <v>4.0466666666666669</v>
      </c>
      <c r="E12" s="10">
        <v>0.3821817062102944</v>
      </c>
    </row>
    <row r="13" spans="1:5" x14ac:dyDescent="0.2">
      <c r="A13" s="11" t="s">
        <v>8</v>
      </c>
      <c r="B13" s="9">
        <v>0.50249433106575969</v>
      </c>
      <c r="C13" s="10">
        <v>0.22257142857142859</v>
      </c>
      <c r="D13" s="10">
        <v>4.6657142857142855</v>
      </c>
      <c r="E13" s="10">
        <v>0.38992582097016165</v>
      </c>
    </row>
    <row r="14" spans="1:5" x14ac:dyDescent="0.2">
      <c r="A14" s="11" t="s">
        <v>20</v>
      </c>
      <c r="B14" s="9">
        <v>0.55891231136329167</v>
      </c>
      <c r="C14" s="10">
        <v>0.22503703703703704</v>
      </c>
      <c r="D14" s="10">
        <v>4.9433333333333334</v>
      </c>
      <c r="E14" s="10">
        <v>0.39995894377457974</v>
      </c>
    </row>
    <row r="15" spans="1:5" x14ac:dyDescent="0.2">
      <c r="A15" s="11" t="s">
        <v>28</v>
      </c>
      <c r="B15" s="9">
        <v>0.48455698068701164</v>
      </c>
      <c r="C15" s="10">
        <v>0.21137500000000004</v>
      </c>
      <c r="D15" s="10">
        <v>4.7987500000000001</v>
      </c>
      <c r="E15" s="10">
        <v>0.42567860268378072</v>
      </c>
    </row>
    <row r="16" spans="1:5" x14ac:dyDescent="0.2">
      <c r="A16" s="11" t="s">
        <v>17</v>
      </c>
      <c r="B16" s="9">
        <v>0.58234741264927015</v>
      </c>
      <c r="C16" s="10">
        <v>0.21185714285714283</v>
      </c>
      <c r="D16" s="10">
        <v>4.9514285714285711</v>
      </c>
      <c r="E16" s="10">
        <v>0.43338098016336063</v>
      </c>
    </row>
    <row r="17" spans="1:5" x14ac:dyDescent="0.2">
      <c r="A17" s="11" t="s">
        <v>36</v>
      </c>
      <c r="B17" s="9">
        <v>0.4672349787868364</v>
      </c>
      <c r="C17" s="10">
        <v>0.20983333333333332</v>
      </c>
      <c r="D17" s="10">
        <v>4.9783333333333335</v>
      </c>
      <c r="E17" s="10">
        <v>0.44001021003500584</v>
      </c>
    </row>
    <row r="18" spans="1:5" x14ac:dyDescent="0.2">
      <c r="A18" s="11" t="s">
        <v>42</v>
      </c>
      <c r="B18" s="9">
        <v>0.61721380471380471</v>
      </c>
      <c r="C18" s="10">
        <v>0.18133333333333335</v>
      </c>
      <c r="D18" s="10">
        <v>4.4516666666666662</v>
      </c>
      <c r="E18" s="10">
        <v>0.48053286658887595</v>
      </c>
    </row>
    <row r="19" spans="1:5" x14ac:dyDescent="0.2">
      <c r="A19" s="11" t="s">
        <v>86</v>
      </c>
      <c r="B19" s="9">
        <v>0.53083172304493809</v>
      </c>
      <c r="C19" s="10">
        <v>0.23033082706766919</v>
      </c>
      <c r="D19" s="10">
        <v>4.2796240601503763</v>
      </c>
      <c r="E19" s="10">
        <v>0.34800164062431466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2001-7EFB-1F4D-996A-F3A0A57A86B4}">
  <dimension ref="A1:J134"/>
  <sheetViews>
    <sheetView tabSelected="1" zoomScale="75" zoomScaleNormal="60" workbookViewId="0">
      <selection activeCell="E90" sqref="E90"/>
    </sheetView>
  </sheetViews>
  <sheetFormatPr baseColWidth="10" defaultRowHeight="22" x14ac:dyDescent="0.3"/>
  <cols>
    <col min="1" max="1" width="20.33203125" style="1" customWidth="1"/>
    <col min="2" max="2" width="26.5" style="1" customWidth="1"/>
    <col min="3" max="3" width="20.83203125" style="1" customWidth="1"/>
    <col min="4" max="6" width="22.5" style="1" customWidth="1"/>
    <col min="7" max="7" width="27.83203125" style="1" customWidth="1"/>
    <col min="8" max="8" width="16" style="1" customWidth="1"/>
    <col min="9" max="9" width="18.83203125" style="1" customWidth="1"/>
    <col min="10" max="10" width="22.33203125" style="6" customWidth="1"/>
    <col min="11" max="16384" width="10.83203125" style="1"/>
  </cols>
  <sheetData>
    <row r="1" spans="1:10" s="2" customFormat="1" x14ac:dyDescent="0.3">
      <c r="A1" s="2" t="s">
        <v>0</v>
      </c>
      <c r="B1" s="2" t="s">
        <v>1</v>
      </c>
      <c r="C1" s="2" t="s">
        <v>4</v>
      </c>
      <c r="D1" s="2" t="s">
        <v>5</v>
      </c>
      <c r="E1" s="2" t="s">
        <v>78</v>
      </c>
      <c r="F1" s="2" t="s">
        <v>77</v>
      </c>
      <c r="G1" s="2" t="s">
        <v>79</v>
      </c>
      <c r="H1" s="2" t="s">
        <v>2</v>
      </c>
      <c r="I1" s="2" t="s">
        <v>3</v>
      </c>
      <c r="J1" s="4" t="s">
        <v>80</v>
      </c>
    </row>
    <row r="2" spans="1:10" x14ac:dyDescent="0.3">
      <c r="A2" s="1" t="s">
        <v>6</v>
      </c>
      <c r="B2" s="1" t="s">
        <v>7</v>
      </c>
      <c r="C2" s="3">
        <v>2.5</v>
      </c>
      <c r="D2" s="3">
        <v>0.29599999999999999</v>
      </c>
      <c r="E2" s="3">
        <f>(C2 - MIN(C:C)) / (MAX(C:C) - MIN(C:C))</f>
        <v>0</v>
      </c>
      <c r="F2" s="3">
        <f>1 - ((D2 - MIN(D:D)) / (MAX(D:D) - MIN(D:D)))</f>
        <v>0.16000000000000014</v>
      </c>
      <c r="G2" s="3">
        <f>0.5 *E2+0.5*F2</f>
        <v>8.0000000000000071E-2</v>
      </c>
      <c r="H2" s="7">
        <v>17</v>
      </c>
      <c r="I2" s="7">
        <v>8</v>
      </c>
      <c r="J2" s="5">
        <f>I2/H2</f>
        <v>0.47058823529411764</v>
      </c>
    </row>
    <row r="3" spans="1:10" x14ac:dyDescent="0.3">
      <c r="A3" s="1" t="s">
        <v>38</v>
      </c>
      <c r="B3" s="1" t="s">
        <v>39</v>
      </c>
      <c r="C3" s="3">
        <v>3.33</v>
      </c>
      <c r="D3" s="3">
        <v>0.31</v>
      </c>
      <c r="E3" s="3">
        <f>(C3 - MIN(C:C)) / (MAX(C:C) - MIN(C:C))</f>
        <v>9.6849474912485425E-2</v>
      </c>
      <c r="F3" s="3">
        <f>1 - ((D3 - MIN(D:D)) / (MAX(D:D) - MIN(D:D)))</f>
        <v>9.000000000000008E-2</v>
      </c>
      <c r="G3" s="3">
        <f>0.5 *E3+0.5*F3</f>
        <v>9.3424737456242746E-2</v>
      </c>
      <c r="H3" s="7">
        <v>17</v>
      </c>
      <c r="I3" s="7">
        <v>7</v>
      </c>
      <c r="J3" s="5">
        <f>I3/H3</f>
        <v>0.41176470588235292</v>
      </c>
    </row>
    <row r="4" spans="1:10" x14ac:dyDescent="0.3">
      <c r="A4" s="1" t="s">
        <v>20</v>
      </c>
      <c r="B4" s="1" t="s">
        <v>23</v>
      </c>
      <c r="C4" s="3">
        <v>3.75</v>
      </c>
      <c r="D4" s="3">
        <v>0.31900000000000001</v>
      </c>
      <c r="E4" s="3">
        <f>(C4 - MIN(C:C)) / (MAX(C:C) - MIN(C:C))</f>
        <v>0.14585764294049008</v>
      </c>
      <c r="F4" s="3">
        <f>1 - ((D4 - MIN(D:D)) / (MAX(D:D) - MIN(D:D)))</f>
        <v>4.500000000000004E-2</v>
      </c>
      <c r="G4" s="3">
        <f>0.5 *E4+0.5*F4</f>
        <v>9.5428821470245062E-2</v>
      </c>
      <c r="H4" s="7">
        <v>12</v>
      </c>
      <c r="I4" s="7">
        <v>5</v>
      </c>
      <c r="J4" s="5">
        <f>I4/H4</f>
        <v>0.41666666666666669</v>
      </c>
    </row>
    <row r="5" spans="1:10" x14ac:dyDescent="0.3">
      <c r="A5" s="1" t="s">
        <v>20</v>
      </c>
      <c r="B5" s="1" t="s">
        <v>23</v>
      </c>
      <c r="C5" s="3">
        <v>2.5</v>
      </c>
      <c r="D5" s="3">
        <v>0.28899999999999998</v>
      </c>
      <c r="E5" s="3">
        <f>(C5 - MIN(C:C)) / (MAX(C:C) - MIN(C:C))</f>
        <v>0</v>
      </c>
      <c r="F5" s="3">
        <f>1 - ((D5 - MIN(D:D)) / (MAX(D:D) - MIN(D:D)))</f>
        <v>0.19500000000000017</v>
      </c>
      <c r="G5" s="3">
        <f>0.5 *E5+0.5*F5</f>
        <v>9.7500000000000087E-2</v>
      </c>
      <c r="H5" s="7">
        <v>16</v>
      </c>
      <c r="I5" s="7">
        <v>9</v>
      </c>
      <c r="J5" s="5">
        <f>I5/H5</f>
        <v>0.5625</v>
      </c>
    </row>
    <row r="6" spans="1:10" x14ac:dyDescent="0.3">
      <c r="A6" s="1" t="s">
        <v>22</v>
      </c>
      <c r="B6" s="1" t="s">
        <v>23</v>
      </c>
      <c r="C6" s="3">
        <v>3.5</v>
      </c>
      <c r="D6" s="3">
        <v>0.308</v>
      </c>
      <c r="E6" s="3">
        <f>(C6 - MIN(C:C)) / (MAX(C:C) - MIN(C:C))</f>
        <v>0.11668611435239207</v>
      </c>
      <c r="F6" s="3">
        <f>1 - ((D6 - MIN(D:D)) / (MAX(D:D) - MIN(D:D)))</f>
        <v>0.10000000000000009</v>
      </c>
      <c r="G6" s="3">
        <f>0.5 *E6+0.5*F6</f>
        <v>0.10834305717619608</v>
      </c>
      <c r="H6" s="7">
        <v>18</v>
      </c>
      <c r="I6" s="7">
        <v>10</v>
      </c>
      <c r="J6" s="5">
        <f>I6/H6</f>
        <v>0.55555555555555558</v>
      </c>
    </row>
    <row r="7" spans="1:10" x14ac:dyDescent="0.3">
      <c r="A7" s="1" t="s">
        <v>38</v>
      </c>
      <c r="B7" s="1" t="s">
        <v>54</v>
      </c>
      <c r="C7" s="3">
        <v>3.5</v>
      </c>
      <c r="D7" s="3">
        <v>0.3</v>
      </c>
      <c r="E7" s="3">
        <f>(C7 - MIN(C:C)) / (MAX(C:C) - MIN(C:C))</f>
        <v>0.11668611435239207</v>
      </c>
      <c r="F7" s="3">
        <f>1 - ((D7 - MIN(D:D)) / (MAX(D:D) - MIN(D:D)))</f>
        <v>0.14000000000000012</v>
      </c>
      <c r="G7" s="3">
        <f>0.5 *E7+0.5*F7</f>
        <v>0.1283430571761961</v>
      </c>
      <c r="H7" s="7">
        <v>20</v>
      </c>
      <c r="I7" s="7">
        <v>10</v>
      </c>
      <c r="J7" s="5">
        <f>I7/H7</f>
        <v>0.5</v>
      </c>
    </row>
    <row r="8" spans="1:10" x14ac:dyDescent="0.3">
      <c r="A8" s="1" t="s">
        <v>31</v>
      </c>
      <c r="B8" s="1" t="s">
        <v>23</v>
      </c>
      <c r="C8" s="3">
        <v>3.5</v>
      </c>
      <c r="D8" s="3">
        <v>0.29899999999999999</v>
      </c>
      <c r="E8" s="3">
        <f>(C8 - MIN(C:C)) / (MAX(C:C) - MIN(C:C))</f>
        <v>0.11668611435239207</v>
      </c>
      <c r="F8" s="3">
        <f>1 - ((D8 - MIN(D:D)) / (MAX(D:D) - MIN(D:D)))</f>
        <v>0.14500000000000013</v>
      </c>
      <c r="G8" s="3">
        <f>0.5 *E8+0.5*F8</f>
        <v>0.1308430571761961</v>
      </c>
      <c r="H8" s="7">
        <v>12</v>
      </c>
      <c r="I8" s="7">
        <v>5</v>
      </c>
      <c r="J8" s="5">
        <f>I8/H8</f>
        <v>0.41666666666666669</v>
      </c>
    </row>
    <row r="9" spans="1:10" x14ac:dyDescent="0.3">
      <c r="A9" s="1" t="s">
        <v>31</v>
      </c>
      <c r="B9" s="1" t="s">
        <v>23</v>
      </c>
      <c r="C9" s="3">
        <v>3.5</v>
      </c>
      <c r="D9" s="3">
        <v>0.29899999999999999</v>
      </c>
      <c r="E9" s="3">
        <f>(C9 - MIN(C:C)) / (MAX(C:C) - MIN(C:C))</f>
        <v>0.11668611435239207</v>
      </c>
      <c r="F9" s="3">
        <f>1 - ((D9 - MIN(D:D)) / (MAX(D:D) - MIN(D:D)))</f>
        <v>0.14500000000000013</v>
      </c>
      <c r="G9" s="3">
        <f>0.5 *E9+0.5*F9</f>
        <v>0.1308430571761961</v>
      </c>
      <c r="H9" s="7">
        <v>12</v>
      </c>
      <c r="I9" s="7">
        <v>10</v>
      </c>
      <c r="J9" s="5">
        <f>I9/H9</f>
        <v>0.83333333333333337</v>
      </c>
    </row>
    <row r="10" spans="1:10" x14ac:dyDescent="0.3">
      <c r="A10" s="1" t="s">
        <v>22</v>
      </c>
      <c r="B10" s="1" t="s">
        <v>23</v>
      </c>
      <c r="C10" s="3">
        <v>4.7699999999999996</v>
      </c>
      <c r="D10" s="3">
        <v>0.32800000000000001</v>
      </c>
      <c r="E10" s="3">
        <f>(C10 - MIN(C:C)) / (MAX(C:C) - MIN(C:C))</f>
        <v>0.26487747957992991</v>
      </c>
      <c r="F10" s="3">
        <f>1 - ((D10 - MIN(D:D)) / (MAX(D:D) - MIN(D:D)))</f>
        <v>0</v>
      </c>
      <c r="G10" s="3">
        <f>0.5 *E10+0.5*F10</f>
        <v>0.13243873978996495</v>
      </c>
      <c r="H10" s="7">
        <v>18</v>
      </c>
      <c r="I10" s="7">
        <v>11</v>
      </c>
      <c r="J10" s="5">
        <f>I10/H10</f>
        <v>0.61111111111111116</v>
      </c>
    </row>
    <row r="11" spans="1:10" x14ac:dyDescent="0.3">
      <c r="A11" s="1" t="s">
        <v>65</v>
      </c>
      <c r="B11" s="1" t="s">
        <v>66</v>
      </c>
      <c r="C11" s="3">
        <v>3.44</v>
      </c>
      <c r="D11" s="3">
        <v>0.29399999999999998</v>
      </c>
      <c r="E11" s="3">
        <f>(C11 - MIN(C:C)) / (MAX(C:C) - MIN(C:C))</f>
        <v>0.10968494749124853</v>
      </c>
      <c r="F11" s="3">
        <f>1 - ((D11 - MIN(D:D)) / (MAX(D:D) - MIN(D:D)))</f>
        <v>0.17000000000000015</v>
      </c>
      <c r="G11" s="3">
        <f>0.5 *E11+0.5*F11</f>
        <v>0.13984247374562433</v>
      </c>
      <c r="H11" s="7">
        <v>95</v>
      </c>
      <c r="I11" s="7">
        <v>37</v>
      </c>
      <c r="J11" s="5">
        <f>I11/H11</f>
        <v>0.38947368421052631</v>
      </c>
    </row>
    <row r="12" spans="1:10" x14ac:dyDescent="0.3">
      <c r="A12" s="1" t="s">
        <v>31</v>
      </c>
      <c r="B12" s="1" t="s">
        <v>23</v>
      </c>
      <c r="C12" s="3">
        <v>4.17</v>
      </c>
      <c r="D12" s="3">
        <v>0.308</v>
      </c>
      <c r="E12" s="3">
        <f>(C12 - MIN(C:C)) / (MAX(C:C) - MIN(C:C))</f>
        <v>0.19486581096849473</v>
      </c>
      <c r="F12" s="3">
        <f>1 - ((D12 - MIN(D:D)) / (MAX(D:D) - MIN(D:D)))</f>
        <v>0.10000000000000009</v>
      </c>
      <c r="G12" s="3">
        <f>0.5 *E12+0.5*F12</f>
        <v>0.14743290548424742</v>
      </c>
      <c r="H12" s="7">
        <v>12</v>
      </c>
      <c r="I12" s="7">
        <v>12</v>
      </c>
      <c r="J12" s="5">
        <f>I12/H12</f>
        <v>1</v>
      </c>
    </row>
    <row r="13" spans="1:10" x14ac:dyDescent="0.3">
      <c r="A13" s="1" t="s">
        <v>22</v>
      </c>
      <c r="B13" s="1" t="s">
        <v>23</v>
      </c>
      <c r="C13" s="3">
        <v>3.21</v>
      </c>
      <c r="D13" s="3">
        <v>0.28499999999999998</v>
      </c>
      <c r="E13" s="3">
        <f>(C13 - MIN(C:C)) / (MAX(C:C) - MIN(C:C))</f>
        <v>8.2847141190198356E-2</v>
      </c>
      <c r="F13" s="3">
        <f>1 - ((D13 - MIN(D:D)) / (MAX(D:D) - MIN(D:D)))</f>
        <v>0.21500000000000019</v>
      </c>
      <c r="G13" s="3">
        <f>0.5 *E13+0.5*F13</f>
        <v>0.14892357059509928</v>
      </c>
      <c r="H13" s="7">
        <v>18</v>
      </c>
      <c r="I13" s="7">
        <v>10</v>
      </c>
      <c r="J13" s="5">
        <f>I13/H13</f>
        <v>0.55555555555555558</v>
      </c>
    </row>
    <row r="14" spans="1:10" x14ac:dyDescent="0.3">
      <c r="A14" s="1" t="s">
        <v>38</v>
      </c>
      <c r="B14" s="1" t="s">
        <v>39</v>
      </c>
      <c r="C14" s="3">
        <v>2.5</v>
      </c>
      <c r="D14" s="3">
        <v>0.26800000000000002</v>
      </c>
      <c r="E14" s="3">
        <f>(C14 - MIN(C:C)) / (MAX(C:C) - MIN(C:C))</f>
        <v>0</v>
      </c>
      <c r="F14" s="3">
        <f>1 - ((D14 - MIN(D:D)) / (MAX(D:D) - MIN(D:D)))</f>
        <v>0.29999999999999993</v>
      </c>
      <c r="G14" s="3">
        <f>0.5 *E14+0.5*F14</f>
        <v>0.14999999999999997</v>
      </c>
      <c r="H14" s="7">
        <v>18</v>
      </c>
      <c r="I14" s="7">
        <v>6</v>
      </c>
      <c r="J14" s="5">
        <f>I14/H14</f>
        <v>0.33333333333333331</v>
      </c>
    </row>
    <row r="15" spans="1:10" x14ac:dyDescent="0.3">
      <c r="A15" s="1" t="s">
        <v>6</v>
      </c>
      <c r="B15" s="1" t="s">
        <v>23</v>
      </c>
      <c r="C15" s="3">
        <v>2.5</v>
      </c>
      <c r="D15" s="3">
        <v>0.26700000000000002</v>
      </c>
      <c r="E15" s="3">
        <f>(C15 - MIN(C:C)) / (MAX(C:C) - MIN(C:C))</f>
        <v>0</v>
      </c>
      <c r="F15" s="3">
        <f>1 - ((D15 - MIN(D:D)) / (MAX(D:D) - MIN(D:D)))</f>
        <v>0.30499999999999994</v>
      </c>
      <c r="G15" s="3">
        <f>0.5 *E15+0.5*F15</f>
        <v>0.15249999999999997</v>
      </c>
      <c r="H15" s="7">
        <v>15</v>
      </c>
      <c r="I15" s="7">
        <v>4</v>
      </c>
      <c r="J15" s="5">
        <f>I15/H15</f>
        <v>0.26666666666666666</v>
      </c>
    </row>
    <row r="16" spans="1:10" x14ac:dyDescent="0.3">
      <c r="A16" s="1" t="s">
        <v>31</v>
      </c>
      <c r="B16" s="1" t="s">
        <v>23</v>
      </c>
      <c r="C16" s="3">
        <v>4.17</v>
      </c>
      <c r="D16" s="3">
        <v>0.3</v>
      </c>
      <c r="E16" s="3">
        <f>(C16 - MIN(C:C)) / (MAX(C:C) - MIN(C:C))</f>
        <v>0.19486581096849473</v>
      </c>
      <c r="F16" s="3">
        <f>1 - ((D16 - MIN(D:D)) / (MAX(D:D) - MIN(D:D)))</f>
        <v>0.14000000000000012</v>
      </c>
      <c r="G16" s="3">
        <f>0.5 *E16+0.5*F16</f>
        <v>0.16743290548424744</v>
      </c>
      <c r="H16" s="7">
        <v>12</v>
      </c>
      <c r="I16" s="7">
        <v>6</v>
      </c>
      <c r="J16" s="5">
        <f>I16/H16</f>
        <v>0.5</v>
      </c>
    </row>
    <row r="17" spans="1:10" x14ac:dyDescent="0.3">
      <c r="A17" s="1" t="s">
        <v>22</v>
      </c>
      <c r="B17" s="1" t="s">
        <v>23</v>
      </c>
      <c r="C17" s="3">
        <v>4</v>
      </c>
      <c r="D17" s="3">
        <v>0.29499999999999998</v>
      </c>
      <c r="E17" s="3">
        <f>(C17 - MIN(C:C)) / (MAX(C:C) - MIN(C:C))</f>
        <v>0.1750291715285881</v>
      </c>
      <c r="F17" s="3">
        <f>1 - ((D17 - MIN(D:D)) / (MAX(D:D) - MIN(D:D)))</f>
        <v>0.16500000000000015</v>
      </c>
      <c r="G17" s="3">
        <f>0.5 *E17+0.5*F17</f>
        <v>0.17001458576429412</v>
      </c>
      <c r="H17" s="7">
        <v>21</v>
      </c>
      <c r="I17" s="7">
        <v>11</v>
      </c>
      <c r="J17" s="5">
        <f>I17/H17</f>
        <v>0.52380952380952384</v>
      </c>
    </row>
    <row r="18" spans="1:10" x14ac:dyDescent="0.3">
      <c r="A18" s="1" t="s">
        <v>22</v>
      </c>
      <c r="B18" s="1" t="s">
        <v>23</v>
      </c>
      <c r="C18" s="3">
        <v>3</v>
      </c>
      <c r="D18" s="3">
        <v>0.27100000000000002</v>
      </c>
      <c r="E18" s="3">
        <f>(C18 - MIN(C:C)) / (MAX(C:C) - MIN(C:C))</f>
        <v>5.8343057176196034E-2</v>
      </c>
      <c r="F18" s="3">
        <f>1 - ((D18 - MIN(D:D)) / (MAX(D:D) - MIN(D:D)))</f>
        <v>0.28499999999999992</v>
      </c>
      <c r="G18" s="3">
        <f>0.5 *E18+0.5*F18</f>
        <v>0.17167152858809798</v>
      </c>
      <c r="H18" s="7">
        <v>19</v>
      </c>
      <c r="I18" s="7">
        <v>10</v>
      </c>
      <c r="J18" s="5">
        <f>I18/H18</f>
        <v>0.52631578947368418</v>
      </c>
    </row>
    <row r="19" spans="1:10" x14ac:dyDescent="0.3">
      <c r="A19" s="1" t="s">
        <v>32</v>
      </c>
      <c r="B19" s="1" t="s">
        <v>50</v>
      </c>
      <c r="C19" s="3">
        <v>2.95</v>
      </c>
      <c r="D19" s="3">
        <v>0.26600000000000001</v>
      </c>
      <c r="E19" s="3">
        <f>(C19 - MIN(C:C)) / (MAX(C:C) - MIN(C:C))</f>
        <v>5.2508751458576447E-2</v>
      </c>
      <c r="F19" s="3">
        <f>1 - ((D19 - MIN(D:D)) / (MAX(D:D) - MIN(D:D)))</f>
        <v>0.30999999999999994</v>
      </c>
      <c r="G19" s="3">
        <f>0.5 *E19+0.5*F19</f>
        <v>0.18125437572928821</v>
      </c>
      <c r="H19" s="7">
        <v>13</v>
      </c>
      <c r="I19" s="7">
        <v>11</v>
      </c>
      <c r="J19" s="5">
        <f>I19/H19</f>
        <v>0.84615384615384615</v>
      </c>
    </row>
    <row r="20" spans="1:10" x14ac:dyDescent="0.3">
      <c r="A20" s="1" t="s">
        <v>32</v>
      </c>
      <c r="B20" s="1" t="s">
        <v>50</v>
      </c>
      <c r="C20" s="3">
        <v>2.95</v>
      </c>
      <c r="D20" s="3">
        <v>0.26200000000000001</v>
      </c>
      <c r="E20" s="3">
        <f>(C20 - MIN(C:C)) / (MAX(C:C) - MIN(C:C))</f>
        <v>5.2508751458576447E-2</v>
      </c>
      <c r="F20" s="3">
        <f>1 - ((D20 - MIN(D:D)) / (MAX(D:D) - MIN(D:D)))</f>
        <v>0.32999999999999996</v>
      </c>
      <c r="G20" s="3">
        <f>0.5 *E20+0.5*F20</f>
        <v>0.19125437572928822</v>
      </c>
      <c r="H20" s="7">
        <v>16</v>
      </c>
      <c r="I20" s="7">
        <v>12</v>
      </c>
      <c r="J20" s="5">
        <f>I20/H20</f>
        <v>0.75</v>
      </c>
    </row>
    <row r="21" spans="1:10" x14ac:dyDescent="0.3">
      <c r="A21" s="1" t="s">
        <v>20</v>
      </c>
      <c r="B21" s="1" t="s">
        <v>23</v>
      </c>
      <c r="C21" s="3">
        <v>2.5</v>
      </c>
      <c r="D21" s="3">
        <v>0.249</v>
      </c>
      <c r="E21" s="3">
        <f>(C21 - MIN(C:C)) / (MAX(C:C) - MIN(C:C))</f>
        <v>0</v>
      </c>
      <c r="F21" s="3">
        <f>1 - ((D21 - MIN(D:D)) / (MAX(D:D) - MIN(D:D)))</f>
        <v>0.39500000000000002</v>
      </c>
      <c r="G21" s="3">
        <f>0.5 *E21+0.5*F21</f>
        <v>0.19750000000000001</v>
      </c>
      <c r="H21" s="7">
        <v>15</v>
      </c>
      <c r="I21" s="7">
        <v>7</v>
      </c>
      <c r="J21" s="5">
        <f>I21/H21</f>
        <v>0.46666666666666667</v>
      </c>
    </row>
    <row r="22" spans="1:10" x14ac:dyDescent="0.3">
      <c r="A22" s="1" t="s">
        <v>24</v>
      </c>
      <c r="B22" s="1" t="s">
        <v>23</v>
      </c>
      <c r="C22" s="3">
        <v>3.75</v>
      </c>
      <c r="D22" s="3">
        <v>0.27500000000000002</v>
      </c>
      <c r="E22" s="3">
        <f>(C22 - MIN(C:C)) / (MAX(C:C) - MIN(C:C))</f>
        <v>0.14585764294049008</v>
      </c>
      <c r="F22" s="3">
        <f>1 - ((D22 - MIN(D:D)) / (MAX(D:D) - MIN(D:D)))</f>
        <v>0.2649999999999999</v>
      </c>
      <c r="G22" s="3">
        <f>0.5 *E22+0.5*F22</f>
        <v>0.20542882147024499</v>
      </c>
      <c r="H22" s="7">
        <v>17</v>
      </c>
      <c r="I22" s="7">
        <v>12</v>
      </c>
      <c r="J22" s="5">
        <f>I22/H22</f>
        <v>0.70588235294117652</v>
      </c>
    </row>
    <row r="23" spans="1:10" x14ac:dyDescent="0.3">
      <c r="A23" s="1" t="s">
        <v>24</v>
      </c>
      <c r="B23" s="1" t="s">
        <v>23</v>
      </c>
      <c r="C23" s="3">
        <v>3.75</v>
      </c>
      <c r="D23" s="3">
        <v>0.27200000000000002</v>
      </c>
      <c r="E23" s="3">
        <f>(C23 - MIN(C:C)) / (MAX(C:C) - MIN(C:C))</f>
        <v>0.14585764294049008</v>
      </c>
      <c r="F23" s="3">
        <f>1 - ((D23 - MIN(D:D)) / (MAX(D:D) - MIN(D:D)))</f>
        <v>0.27999999999999992</v>
      </c>
      <c r="G23" s="3">
        <f>0.5 *E23+0.5*F23</f>
        <v>0.212928821470245</v>
      </c>
      <c r="H23" s="7">
        <v>16</v>
      </c>
      <c r="I23" s="7">
        <v>8</v>
      </c>
      <c r="J23" s="5">
        <f>I23/H23</f>
        <v>0.5</v>
      </c>
    </row>
    <row r="24" spans="1:10" x14ac:dyDescent="0.3">
      <c r="A24" s="1" t="s">
        <v>22</v>
      </c>
      <c r="B24" s="1" t="s">
        <v>23</v>
      </c>
      <c r="C24" s="3">
        <v>3.12</v>
      </c>
      <c r="D24" s="3">
        <v>0.25700000000000001</v>
      </c>
      <c r="E24" s="3">
        <f>(C24 - MIN(C:C)) / (MAX(C:C) - MIN(C:C))</f>
        <v>7.2345390898483089E-2</v>
      </c>
      <c r="F24" s="3">
        <f>1 - ((D24 - MIN(D:D)) / (MAX(D:D) - MIN(D:D)))</f>
        <v>0.35499999999999998</v>
      </c>
      <c r="G24" s="3">
        <f>0.5 *E24+0.5*F24</f>
        <v>0.21367269544924153</v>
      </c>
      <c r="H24" s="7">
        <v>19</v>
      </c>
      <c r="I24" s="7">
        <v>9</v>
      </c>
      <c r="J24" s="5">
        <f>I24/H24</f>
        <v>0.47368421052631576</v>
      </c>
    </row>
    <row r="25" spans="1:10" x14ac:dyDescent="0.3">
      <c r="A25" s="1" t="s">
        <v>24</v>
      </c>
      <c r="B25" s="1" t="s">
        <v>23</v>
      </c>
      <c r="C25" s="3">
        <v>3.75</v>
      </c>
      <c r="D25" s="3">
        <v>0.27</v>
      </c>
      <c r="E25" s="3">
        <f>(C25 - MIN(C:C)) / (MAX(C:C) - MIN(C:C))</f>
        <v>0.14585764294049008</v>
      </c>
      <c r="F25" s="3">
        <f>1 - ((D25 - MIN(D:D)) / (MAX(D:D) - MIN(D:D)))</f>
        <v>0.28999999999999992</v>
      </c>
      <c r="G25" s="3">
        <f>0.5 *E25+0.5*F25</f>
        <v>0.217928821470245</v>
      </c>
      <c r="H25" s="7">
        <v>16</v>
      </c>
      <c r="I25" s="7">
        <v>10</v>
      </c>
      <c r="J25" s="5">
        <f>I25/H25</f>
        <v>0.625</v>
      </c>
    </row>
    <row r="26" spans="1:10" x14ac:dyDescent="0.3">
      <c r="A26" s="1" t="s">
        <v>22</v>
      </c>
      <c r="B26" s="1" t="s">
        <v>23</v>
      </c>
      <c r="C26" s="3">
        <v>3.12</v>
      </c>
      <c r="D26" s="3">
        <v>0.254</v>
      </c>
      <c r="E26" s="3">
        <f>(C26 - MIN(C:C)) / (MAX(C:C) - MIN(C:C))</f>
        <v>7.2345390898483089E-2</v>
      </c>
      <c r="F26" s="3">
        <f>1 - ((D26 - MIN(D:D)) / (MAX(D:D) - MIN(D:D)))</f>
        <v>0.37</v>
      </c>
      <c r="G26" s="3">
        <f>0.5 *E26+0.5*F26</f>
        <v>0.22117269544924154</v>
      </c>
      <c r="H26" s="7">
        <v>18</v>
      </c>
      <c r="I26" s="7">
        <v>8</v>
      </c>
      <c r="J26" s="5">
        <f>I26/H26</f>
        <v>0.44444444444444442</v>
      </c>
    </row>
    <row r="27" spans="1:10" x14ac:dyDescent="0.3">
      <c r="A27" s="1" t="s">
        <v>38</v>
      </c>
      <c r="B27" s="1" t="s">
        <v>44</v>
      </c>
      <c r="C27" s="3">
        <v>3.61</v>
      </c>
      <c r="D27" s="3">
        <v>0.26200000000000001</v>
      </c>
      <c r="E27" s="3">
        <f>(C27 - MIN(C:C)) / (MAX(C:C) - MIN(C:C))</f>
        <v>0.12952158693115517</v>
      </c>
      <c r="F27" s="3">
        <f>1 - ((D27 - MIN(D:D)) / (MAX(D:D) - MIN(D:D)))</f>
        <v>0.32999999999999996</v>
      </c>
      <c r="G27" s="3">
        <f>0.5 *E27+0.5*F27</f>
        <v>0.22976079346557757</v>
      </c>
      <c r="H27" s="7">
        <v>20</v>
      </c>
      <c r="I27" s="7">
        <v>11</v>
      </c>
      <c r="J27" s="5">
        <f>I27/H27</f>
        <v>0.55000000000000004</v>
      </c>
    </row>
    <row r="28" spans="1:10" x14ac:dyDescent="0.3">
      <c r="A28" s="1" t="s">
        <v>6</v>
      </c>
      <c r="B28" s="1" t="s">
        <v>11</v>
      </c>
      <c r="C28" s="3">
        <v>2.5</v>
      </c>
      <c r="D28" s="3">
        <v>0.23499999999999999</v>
      </c>
      <c r="E28" s="3">
        <f>(C28 - MIN(C:C)) / (MAX(C:C) - MIN(C:C))</f>
        <v>0</v>
      </c>
      <c r="F28" s="3">
        <f>1 - ((D28 - MIN(D:D)) / (MAX(D:D) - MIN(D:D)))</f>
        <v>0.46500000000000008</v>
      </c>
      <c r="G28" s="3">
        <f>0.5 *E28+0.5*F28</f>
        <v>0.23250000000000004</v>
      </c>
      <c r="H28" s="7">
        <v>12</v>
      </c>
      <c r="I28" s="7">
        <v>4</v>
      </c>
      <c r="J28" s="5">
        <f>I28/H28</f>
        <v>0.33333333333333331</v>
      </c>
    </row>
    <row r="29" spans="1:10" x14ac:dyDescent="0.3">
      <c r="A29" s="1" t="s">
        <v>22</v>
      </c>
      <c r="B29" s="1" t="s">
        <v>23</v>
      </c>
      <c r="C29" s="3">
        <v>2.5</v>
      </c>
      <c r="D29" s="3">
        <v>0.23400000000000001</v>
      </c>
      <c r="E29" s="3">
        <f>(C29 - MIN(C:C)) / (MAX(C:C) - MIN(C:C))</f>
        <v>0</v>
      </c>
      <c r="F29" s="3">
        <f>1 - ((D29 - MIN(D:D)) / (MAX(D:D) - MIN(D:D)))</f>
        <v>0.47</v>
      </c>
      <c r="G29" s="3">
        <f>0.5 *E29+0.5*F29</f>
        <v>0.23499999999999999</v>
      </c>
      <c r="H29" s="7">
        <v>18</v>
      </c>
      <c r="I29" s="7">
        <v>12</v>
      </c>
      <c r="J29" s="5">
        <f>I29/H29</f>
        <v>0.66666666666666663</v>
      </c>
    </row>
    <row r="30" spans="1:10" x14ac:dyDescent="0.3">
      <c r="A30" s="1" t="s">
        <v>31</v>
      </c>
      <c r="B30" s="1" t="s">
        <v>23</v>
      </c>
      <c r="C30" s="3">
        <v>5.83</v>
      </c>
      <c r="D30" s="3">
        <v>0.31</v>
      </c>
      <c r="E30" s="3">
        <f>(C30 - MIN(C:C)) / (MAX(C:C) - MIN(C:C))</f>
        <v>0.38856476079346558</v>
      </c>
      <c r="F30" s="3">
        <f>1 - ((D30 - MIN(D:D)) / (MAX(D:D) - MIN(D:D)))</f>
        <v>9.000000000000008E-2</v>
      </c>
      <c r="G30" s="3">
        <f>0.5 *E30+0.5*F30</f>
        <v>0.23928238039673283</v>
      </c>
      <c r="H30" s="7">
        <v>12</v>
      </c>
      <c r="I30" s="7">
        <v>7</v>
      </c>
      <c r="J30" s="5">
        <f>I30/H30</f>
        <v>0.58333333333333337</v>
      </c>
    </row>
    <row r="31" spans="1:10" x14ac:dyDescent="0.3">
      <c r="A31" s="1" t="s">
        <v>6</v>
      </c>
      <c r="B31" s="1" t="s">
        <v>25</v>
      </c>
      <c r="C31" s="3">
        <v>3.33</v>
      </c>
      <c r="D31" s="3">
        <v>0.251</v>
      </c>
      <c r="E31" s="3">
        <f>(C31 - MIN(C:C)) / (MAX(C:C) - MIN(C:C))</f>
        <v>9.6849474912485425E-2</v>
      </c>
      <c r="F31" s="3">
        <f>1 - ((D31 - MIN(D:D)) / (MAX(D:D) - MIN(D:D)))</f>
        <v>0.38500000000000001</v>
      </c>
      <c r="G31" s="3">
        <f>0.5 *E31+0.5*F31</f>
        <v>0.24092473745624271</v>
      </c>
      <c r="H31" s="7">
        <v>15</v>
      </c>
      <c r="I31" s="7">
        <v>6</v>
      </c>
      <c r="J31" s="5">
        <f>I31/H31</f>
        <v>0.4</v>
      </c>
    </row>
    <row r="32" spans="1:10" x14ac:dyDescent="0.3">
      <c r="A32" s="1" t="s">
        <v>24</v>
      </c>
      <c r="B32" s="1" t="s">
        <v>23</v>
      </c>
      <c r="C32" s="3">
        <v>3.61</v>
      </c>
      <c r="D32" s="3">
        <v>0.25600000000000001</v>
      </c>
      <c r="E32" s="3">
        <f>(C32 - MIN(C:C)) / (MAX(C:C) - MIN(C:C))</f>
        <v>0.12952158693115517</v>
      </c>
      <c r="F32" s="3">
        <f>1 - ((D32 - MIN(D:D)) / (MAX(D:D) - MIN(D:D)))</f>
        <v>0.36</v>
      </c>
      <c r="G32" s="3">
        <f>0.5 *E32+0.5*F32</f>
        <v>0.24476079346557758</v>
      </c>
      <c r="H32" s="7">
        <v>20</v>
      </c>
      <c r="I32" s="7">
        <v>10</v>
      </c>
      <c r="J32" s="5">
        <f>I32/H32</f>
        <v>0.5</v>
      </c>
    </row>
    <row r="33" spans="1:10" x14ac:dyDescent="0.3">
      <c r="A33" s="1" t="s">
        <v>28</v>
      </c>
      <c r="B33" s="1" t="s">
        <v>46</v>
      </c>
      <c r="C33" s="3">
        <v>3.27</v>
      </c>
      <c r="D33" s="3">
        <v>0.246</v>
      </c>
      <c r="E33" s="3">
        <f>(C33 - MIN(C:C)) / (MAX(C:C) - MIN(C:C))</f>
        <v>8.9848308051341891E-2</v>
      </c>
      <c r="F33" s="3">
        <f>1 - ((D33 - MIN(D:D)) / (MAX(D:D) - MIN(D:D)))</f>
        <v>0.41000000000000003</v>
      </c>
      <c r="G33" s="3">
        <f>0.5 *E33+0.5*F33</f>
        <v>0.24992415402567097</v>
      </c>
      <c r="H33" s="7">
        <v>17</v>
      </c>
      <c r="I33" s="7">
        <v>14</v>
      </c>
      <c r="J33" s="5">
        <f>I33/H33</f>
        <v>0.82352941176470584</v>
      </c>
    </row>
    <row r="34" spans="1:10" x14ac:dyDescent="0.3">
      <c r="A34" s="1" t="s">
        <v>6</v>
      </c>
      <c r="B34" s="1" t="s">
        <v>23</v>
      </c>
      <c r="C34" s="3">
        <v>2.5</v>
      </c>
      <c r="D34" s="3">
        <v>0.22800000000000001</v>
      </c>
      <c r="E34" s="3">
        <f>(C34 - MIN(C:C)) / (MAX(C:C) - MIN(C:C))</f>
        <v>0</v>
      </c>
      <c r="F34" s="3">
        <f>1 - ((D34 - MIN(D:D)) / (MAX(D:D) - MIN(D:D)))</f>
        <v>0.5</v>
      </c>
      <c r="G34" s="3">
        <f>0.5 *E34+0.5*F34</f>
        <v>0.25</v>
      </c>
      <c r="H34" s="7">
        <v>14</v>
      </c>
      <c r="I34" s="7">
        <v>4</v>
      </c>
      <c r="J34" s="5">
        <f>I34/H34</f>
        <v>0.2857142857142857</v>
      </c>
    </row>
    <row r="35" spans="1:10" x14ac:dyDescent="0.3">
      <c r="A35" s="1" t="s">
        <v>22</v>
      </c>
      <c r="B35" s="1" t="s">
        <v>23</v>
      </c>
      <c r="C35" s="3">
        <v>3.06</v>
      </c>
      <c r="D35" s="3">
        <v>0.24099999999999999</v>
      </c>
      <c r="E35" s="3">
        <f>(C35 - MIN(C:C)) / (MAX(C:C) - MIN(C:C))</f>
        <v>6.5344224037339554E-2</v>
      </c>
      <c r="F35" s="3">
        <f>1 - ((D35 - MIN(D:D)) / (MAX(D:D) - MIN(D:D)))</f>
        <v>0.43500000000000005</v>
      </c>
      <c r="G35" s="3">
        <f>0.5 *E35+0.5*F35</f>
        <v>0.25017211201866979</v>
      </c>
      <c r="H35" s="7">
        <v>18</v>
      </c>
      <c r="I35" s="7">
        <v>10</v>
      </c>
      <c r="J35" s="5">
        <f>I35/H35</f>
        <v>0.55555555555555558</v>
      </c>
    </row>
    <row r="36" spans="1:10" x14ac:dyDescent="0.3">
      <c r="A36" s="1" t="s">
        <v>13</v>
      </c>
      <c r="B36" s="1" t="s">
        <v>73</v>
      </c>
      <c r="C36" s="3">
        <v>5</v>
      </c>
      <c r="D36" s="3">
        <v>0.28599999999999998</v>
      </c>
      <c r="E36" s="3">
        <f>(C36 - MIN(C:C)) / (MAX(C:C) - MIN(C:C))</f>
        <v>0.29171528588098017</v>
      </c>
      <c r="F36" s="3">
        <f>1 - ((D36 - MIN(D:D)) / (MAX(D:D) - MIN(D:D)))</f>
        <v>0.21000000000000019</v>
      </c>
      <c r="G36" s="3">
        <f>0.5 *E36+0.5*F36</f>
        <v>0.25085764294049018</v>
      </c>
      <c r="H36" s="7">
        <v>17</v>
      </c>
      <c r="I36" s="7">
        <v>6</v>
      </c>
      <c r="J36" s="5">
        <f>I36/H36</f>
        <v>0.35294117647058826</v>
      </c>
    </row>
    <row r="37" spans="1:10" x14ac:dyDescent="0.3">
      <c r="A37" s="1" t="s">
        <v>24</v>
      </c>
      <c r="B37" s="1" t="s">
        <v>23</v>
      </c>
      <c r="C37" s="3">
        <v>2.5</v>
      </c>
      <c r="D37" s="3">
        <v>0.22700000000000001</v>
      </c>
      <c r="E37" s="3">
        <f>(C37 - MIN(C:C)) / (MAX(C:C) - MIN(C:C))</f>
        <v>0</v>
      </c>
      <c r="F37" s="3">
        <f>1 - ((D37 - MIN(D:D)) / (MAX(D:D) - MIN(D:D)))</f>
        <v>0.505</v>
      </c>
      <c r="G37" s="3">
        <f>0.5 *E37+0.5*F37</f>
        <v>0.2525</v>
      </c>
      <c r="H37" s="7">
        <v>18</v>
      </c>
      <c r="I37" s="7">
        <v>8</v>
      </c>
      <c r="J37" s="5">
        <f>I37/H37</f>
        <v>0.44444444444444442</v>
      </c>
    </row>
    <row r="38" spans="1:10" x14ac:dyDescent="0.3">
      <c r="A38" s="1" t="s">
        <v>20</v>
      </c>
      <c r="B38" s="1" t="s">
        <v>23</v>
      </c>
      <c r="C38" s="3">
        <v>3.75</v>
      </c>
      <c r="D38" s="3">
        <v>0.255</v>
      </c>
      <c r="E38" s="3">
        <f>(C38 - MIN(C:C)) / (MAX(C:C) - MIN(C:C))</f>
        <v>0.14585764294049008</v>
      </c>
      <c r="F38" s="3">
        <f>1 - ((D38 - MIN(D:D)) / (MAX(D:D) - MIN(D:D)))</f>
        <v>0.36499999999999999</v>
      </c>
      <c r="G38" s="3">
        <f>0.5 *E38+0.5*F38</f>
        <v>0.25542882147024504</v>
      </c>
      <c r="H38" s="7">
        <v>18</v>
      </c>
      <c r="I38" s="7">
        <v>12</v>
      </c>
      <c r="J38" s="5">
        <f>I38/H38</f>
        <v>0.66666666666666663</v>
      </c>
    </row>
    <row r="39" spans="1:10" x14ac:dyDescent="0.3">
      <c r="A39" s="1" t="s">
        <v>20</v>
      </c>
      <c r="B39" s="1" t="s">
        <v>21</v>
      </c>
      <c r="C39" s="3">
        <v>3</v>
      </c>
      <c r="D39" s="3">
        <v>0.23699999999999999</v>
      </c>
      <c r="E39" s="3">
        <f>(C39 - MIN(C:C)) / (MAX(C:C) - MIN(C:C))</f>
        <v>5.8343057176196034E-2</v>
      </c>
      <c r="F39" s="3">
        <f>1 - ((D39 - MIN(D:D)) / (MAX(D:D) - MIN(D:D)))</f>
        <v>0.45500000000000007</v>
      </c>
      <c r="G39" s="3">
        <f>0.5 *E39+0.5*F39</f>
        <v>0.25667152858809805</v>
      </c>
      <c r="H39" s="7">
        <v>12</v>
      </c>
      <c r="I39" s="7">
        <v>10</v>
      </c>
      <c r="J39" s="5">
        <f>I39/H39</f>
        <v>0.83333333333333337</v>
      </c>
    </row>
    <row r="40" spans="1:10" x14ac:dyDescent="0.3">
      <c r="A40" s="1" t="s">
        <v>22</v>
      </c>
      <c r="B40" s="1" t="s">
        <v>23</v>
      </c>
      <c r="C40" s="3">
        <v>4.17</v>
      </c>
      <c r="D40" s="3">
        <v>0.26400000000000001</v>
      </c>
      <c r="E40" s="3">
        <f>(C40 - MIN(C:C)) / (MAX(C:C) - MIN(C:C))</f>
        <v>0.19486581096849473</v>
      </c>
      <c r="F40" s="3">
        <f>1 - ((D40 - MIN(D:D)) / (MAX(D:D) - MIN(D:D)))</f>
        <v>0.31999999999999995</v>
      </c>
      <c r="G40" s="3">
        <f>0.5 *E40+0.5*F40</f>
        <v>0.25743290548424735</v>
      </c>
      <c r="H40" s="7">
        <v>18</v>
      </c>
      <c r="I40" s="7">
        <v>10</v>
      </c>
      <c r="J40" s="5">
        <f>I40/H40</f>
        <v>0.55555555555555558</v>
      </c>
    </row>
    <row r="41" spans="1:10" x14ac:dyDescent="0.3">
      <c r="A41" s="1" t="s">
        <v>6</v>
      </c>
      <c r="B41" s="1" t="s">
        <v>10</v>
      </c>
      <c r="C41" s="3">
        <v>3.75</v>
      </c>
      <c r="D41" s="3">
        <v>0.253</v>
      </c>
      <c r="E41" s="3">
        <f>(C41 - MIN(C:C)) / (MAX(C:C) - MIN(C:C))</f>
        <v>0.14585764294049008</v>
      </c>
      <c r="F41" s="3">
        <f>1 - ((D41 - MIN(D:D)) / (MAX(D:D) - MIN(D:D)))</f>
        <v>0.375</v>
      </c>
      <c r="G41" s="3">
        <f>0.5 *E41+0.5*F41</f>
        <v>0.26042882147024504</v>
      </c>
      <c r="H41" s="7">
        <v>14</v>
      </c>
      <c r="I41" s="7">
        <v>5</v>
      </c>
      <c r="J41" s="5">
        <f>I41/H41</f>
        <v>0.35714285714285715</v>
      </c>
    </row>
    <row r="42" spans="1:10" x14ac:dyDescent="0.3">
      <c r="A42" s="1" t="s">
        <v>20</v>
      </c>
      <c r="B42" s="1" t="s">
        <v>23</v>
      </c>
      <c r="C42" s="3">
        <v>5</v>
      </c>
      <c r="D42" s="3">
        <v>0.28000000000000003</v>
      </c>
      <c r="E42" s="3">
        <f>(C42 - MIN(C:C)) / (MAX(C:C) - MIN(C:C))</f>
        <v>0.29171528588098017</v>
      </c>
      <c r="F42" s="3">
        <f>1 - ((D42 - MIN(D:D)) / (MAX(D:D) - MIN(D:D)))</f>
        <v>0.23999999999999988</v>
      </c>
      <c r="G42" s="3">
        <f>0.5 *E42+0.5*F42</f>
        <v>0.26585764294049002</v>
      </c>
      <c r="H42" s="7">
        <v>15</v>
      </c>
      <c r="I42" s="7">
        <v>13</v>
      </c>
      <c r="J42" s="5">
        <f>I42/H42</f>
        <v>0.8666666666666667</v>
      </c>
    </row>
    <row r="43" spans="1:10" x14ac:dyDescent="0.3">
      <c r="A43" s="1" t="s">
        <v>20</v>
      </c>
      <c r="B43" s="1" t="s">
        <v>23</v>
      </c>
      <c r="C43" s="3">
        <v>2.5</v>
      </c>
      <c r="D43" s="3">
        <v>0.216</v>
      </c>
      <c r="E43" s="3">
        <f>(C43 - MIN(C:C)) / (MAX(C:C) - MIN(C:C))</f>
        <v>0</v>
      </c>
      <c r="F43" s="3">
        <f>1 - ((D43 - MIN(D:D)) / (MAX(D:D) - MIN(D:D)))</f>
        <v>0.56000000000000005</v>
      </c>
      <c r="G43" s="3">
        <f>0.5 *E43+0.5*F43</f>
        <v>0.28000000000000003</v>
      </c>
      <c r="H43" s="7">
        <v>13</v>
      </c>
      <c r="I43" s="7">
        <v>8</v>
      </c>
      <c r="J43" s="5">
        <f>I43/H43</f>
        <v>0.61538461538461542</v>
      </c>
    </row>
    <row r="44" spans="1:10" x14ac:dyDescent="0.3">
      <c r="A44" s="1" t="s">
        <v>8</v>
      </c>
      <c r="B44" s="1" t="s">
        <v>47</v>
      </c>
      <c r="C44" s="3">
        <v>4.38</v>
      </c>
      <c r="D44" s="3">
        <v>0.25900000000000001</v>
      </c>
      <c r="E44" s="3">
        <f>(C44 - MIN(C:C)) / (MAX(C:C) - MIN(C:C))</f>
        <v>0.21936989498249707</v>
      </c>
      <c r="F44" s="3">
        <f>1 - ((D44 - MIN(D:D)) / (MAX(D:D) - MIN(D:D)))</f>
        <v>0.34499999999999997</v>
      </c>
      <c r="G44" s="3">
        <f>0.5 *E44+0.5*F44</f>
        <v>0.28218494749124851</v>
      </c>
      <c r="H44" s="7">
        <v>12</v>
      </c>
      <c r="I44" s="7">
        <v>8</v>
      </c>
      <c r="J44" s="5">
        <f>I44/H44</f>
        <v>0.66666666666666663</v>
      </c>
    </row>
    <row r="45" spans="1:10" x14ac:dyDescent="0.3">
      <c r="A45" s="1" t="s">
        <v>22</v>
      </c>
      <c r="B45" s="1" t="s">
        <v>23</v>
      </c>
      <c r="C45" s="3">
        <v>2.5</v>
      </c>
      <c r="D45" s="3">
        <v>0.215</v>
      </c>
      <c r="E45" s="3">
        <f>(C45 - MIN(C:C)) / (MAX(C:C) - MIN(C:C))</f>
        <v>0</v>
      </c>
      <c r="F45" s="3">
        <f>1 - ((D45 - MIN(D:D)) / (MAX(D:D) - MIN(D:D)))</f>
        <v>0.56500000000000006</v>
      </c>
      <c r="G45" s="3">
        <f>0.5 *E45+0.5*F45</f>
        <v>0.28250000000000003</v>
      </c>
      <c r="H45" s="7">
        <v>18</v>
      </c>
      <c r="I45" s="7">
        <v>9</v>
      </c>
      <c r="J45" s="5">
        <f>I45/H45</f>
        <v>0.5</v>
      </c>
    </row>
    <row r="46" spans="1:10" x14ac:dyDescent="0.3">
      <c r="A46" s="1" t="s">
        <v>15</v>
      </c>
      <c r="B46" s="1" t="s">
        <v>72</v>
      </c>
      <c r="C46" s="3">
        <v>2.5</v>
      </c>
      <c r="D46" s="3">
        <v>0.215</v>
      </c>
      <c r="E46" s="3">
        <f>(C46 - MIN(C:C)) / (MAX(C:C) - MIN(C:C))</f>
        <v>0</v>
      </c>
      <c r="F46" s="3">
        <f>1 - ((D46 - MIN(D:D)) / (MAX(D:D) - MIN(D:D)))</f>
        <v>0.56500000000000006</v>
      </c>
      <c r="G46" s="3">
        <f>0.5 *E46+0.5*F46</f>
        <v>0.28250000000000003</v>
      </c>
      <c r="H46" s="7">
        <v>15</v>
      </c>
      <c r="I46" s="7">
        <v>7</v>
      </c>
      <c r="J46" s="5">
        <f>I46/H46</f>
        <v>0.46666666666666667</v>
      </c>
    </row>
    <row r="47" spans="1:10" x14ac:dyDescent="0.3">
      <c r="A47" s="1" t="s">
        <v>38</v>
      </c>
      <c r="B47" s="1" t="s">
        <v>39</v>
      </c>
      <c r="C47" s="3">
        <v>4.6399999999999997</v>
      </c>
      <c r="D47" s="3">
        <v>0.26400000000000001</v>
      </c>
      <c r="E47" s="3">
        <f>(C47 - MIN(C:C)) / (MAX(C:C) - MIN(C:C))</f>
        <v>0.24970828471411896</v>
      </c>
      <c r="F47" s="3">
        <f>1 - ((D47 - MIN(D:D)) / (MAX(D:D) - MIN(D:D)))</f>
        <v>0.31999999999999995</v>
      </c>
      <c r="G47" s="3">
        <f>0.5 *E47+0.5*F47</f>
        <v>0.28485414235705947</v>
      </c>
      <c r="H47" s="7">
        <v>18</v>
      </c>
      <c r="I47" s="7">
        <v>9</v>
      </c>
      <c r="J47" s="5">
        <f>I47/H47</f>
        <v>0.5</v>
      </c>
    </row>
    <row r="48" spans="1:10" x14ac:dyDescent="0.3">
      <c r="A48" s="1" t="s">
        <v>22</v>
      </c>
      <c r="B48" s="1" t="s">
        <v>23</v>
      </c>
      <c r="C48" s="3">
        <v>3.5</v>
      </c>
      <c r="D48" s="3">
        <v>0.23699999999999999</v>
      </c>
      <c r="E48" s="3">
        <f>(C48 - MIN(C:C)) / (MAX(C:C) - MIN(C:C))</f>
        <v>0.11668611435239207</v>
      </c>
      <c r="F48" s="3">
        <f>1 - ((D48 - MIN(D:D)) / (MAX(D:D) - MIN(D:D)))</f>
        <v>0.45500000000000007</v>
      </c>
      <c r="G48" s="3">
        <f>0.5 *E48+0.5*F48</f>
        <v>0.28584305717619607</v>
      </c>
      <c r="H48" s="7">
        <v>17</v>
      </c>
      <c r="I48" s="7">
        <v>5</v>
      </c>
      <c r="J48" s="5">
        <f>I48/H48</f>
        <v>0.29411764705882354</v>
      </c>
    </row>
    <row r="49" spans="1:10" x14ac:dyDescent="0.3">
      <c r="A49" s="1" t="s">
        <v>42</v>
      </c>
      <c r="B49" s="1" t="s">
        <v>23</v>
      </c>
      <c r="C49" s="3">
        <v>2.5</v>
      </c>
      <c r="D49" s="3">
        <v>0.21299999999999999</v>
      </c>
      <c r="E49" s="3">
        <f>(C49 - MIN(C:C)) / (MAX(C:C) - MIN(C:C))</f>
        <v>0</v>
      </c>
      <c r="F49" s="3">
        <f>1 - ((D49 - MIN(D:D)) / (MAX(D:D) - MIN(D:D)))</f>
        <v>0.57500000000000007</v>
      </c>
      <c r="G49" s="3">
        <f>0.5 *E49+0.5*F49</f>
        <v>0.28750000000000003</v>
      </c>
      <c r="H49" s="7">
        <v>15</v>
      </c>
      <c r="I49" s="7">
        <v>5</v>
      </c>
      <c r="J49" s="5">
        <f>I49/H49</f>
        <v>0.33333333333333331</v>
      </c>
    </row>
    <row r="50" spans="1:10" x14ac:dyDescent="0.3">
      <c r="A50" s="1" t="s">
        <v>31</v>
      </c>
      <c r="B50" s="1" t="s">
        <v>23</v>
      </c>
      <c r="C50" s="3">
        <v>6.25</v>
      </c>
      <c r="D50" s="3">
        <v>0.29899999999999999</v>
      </c>
      <c r="E50" s="3">
        <f>(C50 - MIN(C:C)) / (MAX(C:C) - MIN(C:C))</f>
        <v>0.43757292882147025</v>
      </c>
      <c r="F50" s="3">
        <f>1 - ((D50 - MIN(D:D)) / (MAX(D:D) - MIN(D:D)))</f>
        <v>0.14500000000000013</v>
      </c>
      <c r="G50" s="3">
        <f>0.5 *E50+0.5*F50</f>
        <v>0.29128646441073519</v>
      </c>
      <c r="H50" s="7">
        <v>12</v>
      </c>
      <c r="I50" s="7">
        <v>8</v>
      </c>
      <c r="J50" s="5">
        <f>I50/H50</f>
        <v>0.66666666666666663</v>
      </c>
    </row>
    <row r="51" spans="1:10" x14ac:dyDescent="0.3">
      <c r="A51" s="1" t="s">
        <v>20</v>
      </c>
      <c r="B51" s="1" t="s">
        <v>23</v>
      </c>
      <c r="C51" s="3">
        <v>5</v>
      </c>
      <c r="D51" s="3">
        <v>0.26900000000000002</v>
      </c>
      <c r="E51" s="3">
        <f>(C51 - MIN(C:C)) / (MAX(C:C) - MIN(C:C))</f>
        <v>0.29171528588098017</v>
      </c>
      <c r="F51" s="3">
        <f>1 - ((D51 - MIN(D:D)) / (MAX(D:D) - MIN(D:D)))</f>
        <v>0.29499999999999993</v>
      </c>
      <c r="G51" s="3">
        <f>0.5 *E51+0.5*F51</f>
        <v>0.29335764294049005</v>
      </c>
      <c r="H51" s="7">
        <v>16</v>
      </c>
      <c r="I51" s="7">
        <v>9</v>
      </c>
      <c r="J51" s="5">
        <f>I51/H51</f>
        <v>0.5625</v>
      </c>
    </row>
    <row r="52" spans="1:10" x14ac:dyDescent="0.3">
      <c r="A52" s="1" t="s">
        <v>13</v>
      </c>
      <c r="B52" s="1" t="s">
        <v>71</v>
      </c>
      <c r="C52" s="3">
        <v>3.33</v>
      </c>
      <c r="D52" s="3">
        <v>0.23</v>
      </c>
      <c r="E52" s="3">
        <f>(C52 - MIN(C:C)) / (MAX(C:C) - MIN(C:C))</f>
        <v>9.6849474912485425E-2</v>
      </c>
      <c r="F52" s="3">
        <f>1 - ((D52 - MIN(D:D)) / (MAX(D:D) - MIN(D:D)))</f>
        <v>0.49</v>
      </c>
      <c r="G52" s="3">
        <f>0.5 *E52+0.5*F52</f>
        <v>0.2934247374562427</v>
      </c>
      <c r="H52" s="7">
        <v>14</v>
      </c>
      <c r="I52" s="7">
        <v>7</v>
      </c>
      <c r="J52" s="5">
        <f>I52/H52</f>
        <v>0.5</v>
      </c>
    </row>
    <row r="53" spans="1:10" x14ac:dyDescent="0.3">
      <c r="A53" s="1" t="s">
        <v>24</v>
      </c>
      <c r="B53" s="1" t="s">
        <v>23</v>
      </c>
      <c r="C53" s="3">
        <v>3.33</v>
      </c>
      <c r="D53" s="3">
        <v>0.22800000000000001</v>
      </c>
      <c r="E53" s="3">
        <f>(C53 - MIN(C:C)) / (MAX(C:C) - MIN(C:C))</f>
        <v>9.6849474912485425E-2</v>
      </c>
      <c r="F53" s="3">
        <f>1 - ((D53 - MIN(D:D)) / (MAX(D:D) - MIN(D:D)))</f>
        <v>0.5</v>
      </c>
      <c r="G53" s="3">
        <f>0.5 *E53+0.5*F53</f>
        <v>0.29842473745624271</v>
      </c>
      <c r="H53" s="7">
        <v>17</v>
      </c>
      <c r="I53" s="7">
        <v>7</v>
      </c>
      <c r="J53" s="5">
        <f>I53/H53</f>
        <v>0.41176470588235292</v>
      </c>
    </row>
    <row r="54" spans="1:10" x14ac:dyDescent="0.3">
      <c r="A54" s="1" t="s">
        <v>17</v>
      </c>
      <c r="B54" s="1" t="s">
        <v>56</v>
      </c>
      <c r="C54" s="3">
        <v>3.33</v>
      </c>
      <c r="D54" s="3">
        <v>0.22800000000000001</v>
      </c>
      <c r="E54" s="3">
        <f>(C54 - MIN(C:C)) / (MAX(C:C) - MIN(C:C))</f>
        <v>9.6849474912485425E-2</v>
      </c>
      <c r="F54" s="3">
        <f>1 - ((D54 - MIN(D:D)) / (MAX(D:D) - MIN(D:D)))</f>
        <v>0.5</v>
      </c>
      <c r="G54" s="3">
        <f>0.5 *E54+0.5*F54</f>
        <v>0.29842473745624271</v>
      </c>
      <c r="H54" s="7">
        <v>15</v>
      </c>
      <c r="I54" s="7">
        <v>7</v>
      </c>
      <c r="J54" s="5">
        <f>I54/H54</f>
        <v>0.46666666666666667</v>
      </c>
    </row>
    <row r="55" spans="1:10" x14ac:dyDescent="0.3">
      <c r="A55" s="1" t="s">
        <v>22</v>
      </c>
      <c r="B55" s="1" t="s">
        <v>23</v>
      </c>
      <c r="C55" s="3">
        <v>3.33</v>
      </c>
      <c r="D55" s="3">
        <v>0.22800000000000001</v>
      </c>
      <c r="E55" s="3">
        <f>(C55 - MIN(C:C)) / (MAX(C:C) - MIN(C:C))</f>
        <v>9.6849474912485425E-2</v>
      </c>
      <c r="F55" s="3">
        <f>1 - ((D55 - MIN(D:D)) / (MAX(D:D) - MIN(D:D)))</f>
        <v>0.5</v>
      </c>
      <c r="G55" s="3">
        <f>0.5 *E55+0.5*F55</f>
        <v>0.29842473745624271</v>
      </c>
      <c r="H55" s="7">
        <v>18</v>
      </c>
      <c r="I55" s="7">
        <v>7</v>
      </c>
      <c r="J55" s="5">
        <f>I55/H55</f>
        <v>0.3888888888888889</v>
      </c>
    </row>
    <row r="56" spans="1:10" x14ac:dyDescent="0.3">
      <c r="A56" s="1" t="s">
        <v>20</v>
      </c>
      <c r="B56" s="1" t="s">
        <v>23</v>
      </c>
      <c r="C56" s="3">
        <v>3</v>
      </c>
      <c r="D56" s="3">
        <v>0.22</v>
      </c>
      <c r="E56" s="3">
        <f>(C56 - MIN(C:C)) / (MAX(C:C) - MIN(C:C))</f>
        <v>5.8343057176196034E-2</v>
      </c>
      <c r="F56" s="3">
        <f>1 - ((D56 - MIN(D:D)) / (MAX(D:D) - MIN(D:D)))</f>
        <v>0.54</v>
      </c>
      <c r="G56" s="3">
        <f>0.5 *E56+0.5*F56</f>
        <v>0.29917152858809803</v>
      </c>
      <c r="H56" s="7">
        <v>16</v>
      </c>
      <c r="I56" s="7">
        <v>10</v>
      </c>
      <c r="J56" s="5">
        <f>I56/H56</f>
        <v>0.625</v>
      </c>
    </row>
    <row r="57" spans="1:10" x14ac:dyDescent="0.3">
      <c r="A57" s="1" t="s">
        <v>36</v>
      </c>
      <c r="B57" s="1" t="s">
        <v>60</v>
      </c>
      <c r="C57" s="3">
        <v>3.75</v>
      </c>
      <c r="D57" s="3">
        <v>0.23699999999999999</v>
      </c>
      <c r="E57" s="3">
        <f>(C57 - MIN(C:C)) / (MAX(C:C) - MIN(C:C))</f>
        <v>0.14585764294049008</v>
      </c>
      <c r="F57" s="3">
        <f>1 - ((D57 - MIN(D:D)) / (MAX(D:D) - MIN(D:D)))</f>
        <v>0.45500000000000007</v>
      </c>
      <c r="G57" s="3">
        <f>0.5 *E57+0.5*F57</f>
        <v>0.30042882147024508</v>
      </c>
      <c r="H57" s="7">
        <v>19</v>
      </c>
      <c r="I57" s="7">
        <v>13</v>
      </c>
      <c r="J57" s="5">
        <f>I57/H57</f>
        <v>0.68421052631578949</v>
      </c>
    </row>
    <row r="58" spans="1:10" x14ac:dyDescent="0.3">
      <c r="A58" s="1" t="s">
        <v>13</v>
      </c>
      <c r="B58" s="1" t="s">
        <v>76</v>
      </c>
      <c r="C58" s="3">
        <v>4.42</v>
      </c>
      <c r="D58" s="3">
        <v>0.248</v>
      </c>
      <c r="E58" s="3">
        <f>(C58 - MIN(C:C)) / (MAX(C:C) - MIN(C:C))</f>
        <v>0.22403733955659275</v>
      </c>
      <c r="F58" s="3">
        <f>1 - ((D58 - MIN(D:D)) / (MAX(D:D) - MIN(D:D)))</f>
        <v>0.4</v>
      </c>
      <c r="G58" s="3">
        <f>0.5 *E58+0.5*F58</f>
        <v>0.3120186697782964</v>
      </c>
      <c r="H58" s="7">
        <v>19</v>
      </c>
      <c r="I58" s="7">
        <v>14</v>
      </c>
      <c r="J58" s="5">
        <f>I58/H58</f>
        <v>0.73684210526315785</v>
      </c>
    </row>
    <row r="59" spans="1:10" x14ac:dyDescent="0.3">
      <c r="A59" s="1" t="s">
        <v>32</v>
      </c>
      <c r="B59" s="1" t="s">
        <v>43</v>
      </c>
      <c r="C59" s="3">
        <v>4.17</v>
      </c>
      <c r="D59" s="3">
        <v>0.24199999999999999</v>
      </c>
      <c r="E59" s="3">
        <f>(C59 - MIN(C:C)) / (MAX(C:C) - MIN(C:C))</f>
        <v>0.19486581096849473</v>
      </c>
      <c r="F59" s="3">
        <f>1 - ((D59 - MIN(D:D)) / (MAX(D:D) - MIN(D:D)))</f>
        <v>0.43000000000000005</v>
      </c>
      <c r="G59" s="3">
        <f>0.5 *E59+0.5*F59</f>
        <v>0.3124329054842474</v>
      </c>
      <c r="H59" s="7">
        <v>14</v>
      </c>
      <c r="I59" s="7">
        <v>9</v>
      </c>
      <c r="J59" s="5">
        <f>I59/H59</f>
        <v>0.6428571428571429</v>
      </c>
    </row>
    <row r="60" spans="1:10" x14ac:dyDescent="0.3">
      <c r="A60" s="1" t="s">
        <v>8</v>
      </c>
      <c r="B60" s="1" t="s">
        <v>35</v>
      </c>
      <c r="C60" s="3">
        <v>3.33</v>
      </c>
      <c r="D60" s="3">
        <v>0.222</v>
      </c>
      <c r="E60" s="3">
        <f>(C60 - MIN(C:C)) / (MAX(C:C) - MIN(C:C))</f>
        <v>9.6849474912485425E-2</v>
      </c>
      <c r="F60" s="3">
        <f>1 - ((D60 - MIN(D:D)) / (MAX(D:D) - MIN(D:D)))</f>
        <v>0.53</v>
      </c>
      <c r="G60" s="3">
        <f>0.5 *E60+0.5*F60</f>
        <v>0.31342473745624272</v>
      </c>
      <c r="H60" s="7">
        <v>12</v>
      </c>
      <c r="I60" s="7">
        <v>6</v>
      </c>
      <c r="J60" s="5">
        <f>I60/H60</f>
        <v>0.5</v>
      </c>
    </row>
    <row r="61" spans="1:10" x14ac:dyDescent="0.3">
      <c r="A61" s="1" t="s">
        <v>20</v>
      </c>
      <c r="B61" s="1" t="s">
        <v>23</v>
      </c>
      <c r="C61" s="3">
        <v>3.93</v>
      </c>
      <c r="D61" s="3">
        <v>0.23400000000000001</v>
      </c>
      <c r="E61" s="3">
        <f>(C61 - MIN(C:C)) / (MAX(C:C) - MIN(C:C))</f>
        <v>0.16686114352392067</v>
      </c>
      <c r="F61" s="3">
        <f>1 - ((D61 - MIN(D:D)) / (MAX(D:D) - MIN(D:D)))</f>
        <v>0.47</v>
      </c>
      <c r="G61" s="3">
        <f>0.5 *E61+0.5*F61</f>
        <v>0.31843057176196032</v>
      </c>
      <c r="H61" s="7">
        <v>16</v>
      </c>
      <c r="I61" s="7">
        <v>8</v>
      </c>
      <c r="J61" s="5">
        <f>I61/H61</f>
        <v>0.5</v>
      </c>
    </row>
    <row r="62" spans="1:10" x14ac:dyDescent="0.3">
      <c r="A62" s="1" t="s">
        <v>22</v>
      </c>
      <c r="B62" s="1" t="s">
        <v>23</v>
      </c>
      <c r="C62" s="3">
        <v>3.5</v>
      </c>
      <c r="D62" s="3">
        <v>0.222</v>
      </c>
      <c r="E62" s="3">
        <f>(C62 - MIN(C:C)) / (MAX(C:C) - MIN(C:C))</f>
        <v>0.11668611435239207</v>
      </c>
      <c r="F62" s="3">
        <f>1 - ((D62 - MIN(D:D)) / (MAX(D:D) - MIN(D:D)))</f>
        <v>0.53</v>
      </c>
      <c r="G62" s="3">
        <f>0.5 *E62+0.5*F62</f>
        <v>0.32334305717619605</v>
      </c>
      <c r="H62" s="7">
        <v>18</v>
      </c>
      <c r="I62" s="7">
        <v>5</v>
      </c>
      <c r="J62" s="5">
        <f>I62/H62</f>
        <v>0.27777777777777779</v>
      </c>
    </row>
    <row r="63" spans="1:10" x14ac:dyDescent="0.3">
      <c r="A63" s="1" t="s">
        <v>20</v>
      </c>
      <c r="B63" s="1" t="s">
        <v>23</v>
      </c>
      <c r="C63" s="3">
        <v>2.5</v>
      </c>
      <c r="D63" s="3">
        <v>0.19800000000000001</v>
      </c>
      <c r="E63" s="3">
        <f>(C63 - MIN(C:C)) / (MAX(C:C) - MIN(C:C))</f>
        <v>0</v>
      </c>
      <c r="F63" s="3">
        <f>1 - ((D63 - MIN(D:D)) / (MAX(D:D) - MIN(D:D)))</f>
        <v>0.64999999999999991</v>
      </c>
      <c r="G63" s="3">
        <f>0.5 *E63+0.5*F63</f>
        <v>0.32499999999999996</v>
      </c>
      <c r="H63" s="7">
        <v>15</v>
      </c>
      <c r="I63" s="7">
        <v>6</v>
      </c>
      <c r="J63" s="5">
        <f>I63/H63</f>
        <v>0.4</v>
      </c>
    </row>
    <row r="64" spans="1:10" x14ac:dyDescent="0.3">
      <c r="A64" s="1" t="s">
        <v>20</v>
      </c>
      <c r="B64" s="1" t="s">
        <v>23</v>
      </c>
      <c r="C64" s="3">
        <v>4.17</v>
      </c>
      <c r="D64" s="3">
        <v>0.23499999999999999</v>
      </c>
      <c r="E64" s="3">
        <f>(C64 - MIN(C:C)) / (MAX(C:C) - MIN(C:C))</f>
        <v>0.19486581096849473</v>
      </c>
      <c r="F64" s="3">
        <f>1 - ((D64 - MIN(D:D)) / (MAX(D:D) - MIN(D:D)))</f>
        <v>0.46500000000000008</v>
      </c>
      <c r="G64" s="3">
        <f>0.5 *E64+0.5*F64</f>
        <v>0.32993290548424742</v>
      </c>
      <c r="H64" s="7">
        <v>16</v>
      </c>
      <c r="I64" s="7">
        <v>6</v>
      </c>
      <c r="J64" s="5">
        <f>I64/H64</f>
        <v>0.375</v>
      </c>
    </row>
    <row r="65" spans="1:10" x14ac:dyDescent="0.3">
      <c r="A65" s="1" t="s">
        <v>6</v>
      </c>
      <c r="B65" s="1" t="s">
        <v>69</v>
      </c>
      <c r="C65" s="3">
        <v>3.75</v>
      </c>
      <c r="D65" s="3">
        <v>0.223</v>
      </c>
      <c r="E65" s="3">
        <f>(C65 - MIN(C:C)) / (MAX(C:C) - MIN(C:C))</f>
        <v>0.14585764294049008</v>
      </c>
      <c r="F65" s="3">
        <f>1 - ((D65 - MIN(D:D)) / (MAX(D:D) - MIN(D:D)))</f>
        <v>0.52500000000000002</v>
      </c>
      <c r="G65" s="3">
        <f>0.5 *E65+0.5*F65</f>
        <v>0.33542882147024505</v>
      </c>
      <c r="H65" s="7">
        <v>12</v>
      </c>
      <c r="I65" s="7">
        <v>8</v>
      </c>
      <c r="J65" s="5">
        <f>I65/H65</f>
        <v>0.66666666666666663</v>
      </c>
    </row>
    <row r="66" spans="1:10" x14ac:dyDescent="0.3">
      <c r="A66" s="1" t="s">
        <v>31</v>
      </c>
      <c r="B66" s="1" t="s">
        <v>23</v>
      </c>
      <c r="C66" s="3">
        <v>5</v>
      </c>
      <c r="D66" s="3">
        <v>0.252</v>
      </c>
      <c r="E66" s="3">
        <f>(C66 - MIN(C:C)) / (MAX(C:C) - MIN(C:C))</f>
        <v>0.29171528588098017</v>
      </c>
      <c r="F66" s="3">
        <f>1 - ((D66 - MIN(D:D)) / (MAX(D:D) - MIN(D:D)))</f>
        <v>0.38</v>
      </c>
      <c r="G66" s="3">
        <f>0.5 *E66+0.5*F66</f>
        <v>0.33585764294049009</v>
      </c>
      <c r="H66" s="7">
        <v>12</v>
      </c>
      <c r="I66" s="7">
        <v>5</v>
      </c>
      <c r="J66" s="5">
        <f>I66/H66</f>
        <v>0.41666666666666669</v>
      </c>
    </row>
    <row r="67" spans="1:10" x14ac:dyDescent="0.3">
      <c r="A67" s="1" t="s">
        <v>24</v>
      </c>
      <c r="B67" s="1" t="s">
        <v>23</v>
      </c>
      <c r="C67" s="3">
        <v>3.93</v>
      </c>
      <c r="D67" s="3">
        <v>0.22700000000000001</v>
      </c>
      <c r="E67" s="3">
        <f>(C67 - MIN(C:C)) / (MAX(C:C) - MIN(C:C))</f>
        <v>0.16686114352392067</v>
      </c>
      <c r="F67" s="3">
        <f>1 - ((D67 - MIN(D:D)) / (MAX(D:D) - MIN(D:D)))</f>
        <v>0.505</v>
      </c>
      <c r="G67" s="3">
        <f>0.5 *E67+0.5*F67</f>
        <v>0.33593057176196034</v>
      </c>
      <c r="H67" s="7">
        <v>18</v>
      </c>
      <c r="I67" s="7">
        <v>7</v>
      </c>
      <c r="J67" s="5">
        <f>I67/H67</f>
        <v>0.3888888888888889</v>
      </c>
    </row>
    <row r="68" spans="1:10" x14ac:dyDescent="0.3">
      <c r="A68" s="1" t="s">
        <v>15</v>
      </c>
      <c r="B68" s="1" t="s">
        <v>16</v>
      </c>
      <c r="C68" s="3">
        <v>3.61</v>
      </c>
      <c r="D68" s="3">
        <v>0.217</v>
      </c>
      <c r="E68" s="3">
        <f>(C68 - MIN(C:C)) / (MAX(C:C) - MIN(C:C))</f>
        <v>0.12952158693115517</v>
      </c>
      <c r="F68" s="3">
        <f>1 - ((D68 - MIN(D:D)) / (MAX(D:D) - MIN(D:D)))</f>
        <v>0.55500000000000005</v>
      </c>
      <c r="G68" s="3">
        <f>0.5 *E68+0.5*F68</f>
        <v>0.34226079346557758</v>
      </c>
      <c r="H68" s="7">
        <v>13</v>
      </c>
      <c r="I68" s="7">
        <v>9</v>
      </c>
      <c r="J68" s="5">
        <f>I68/H68</f>
        <v>0.69230769230769229</v>
      </c>
    </row>
    <row r="69" spans="1:10" x14ac:dyDescent="0.3">
      <c r="A69" s="1" t="s">
        <v>20</v>
      </c>
      <c r="B69" s="1" t="s">
        <v>23</v>
      </c>
      <c r="C69" s="3">
        <v>4.38</v>
      </c>
      <c r="D69" s="3">
        <v>0.23300000000000001</v>
      </c>
      <c r="E69" s="3">
        <f>(C69 - MIN(C:C)) / (MAX(C:C) - MIN(C:C))</f>
        <v>0.21936989498249707</v>
      </c>
      <c r="F69" s="3">
        <f>1 - ((D69 - MIN(D:D)) / (MAX(D:D) - MIN(D:D)))</f>
        <v>0.47499999999999998</v>
      </c>
      <c r="G69" s="3">
        <f>0.5 *E69+0.5*F69</f>
        <v>0.34718494749124851</v>
      </c>
      <c r="H69" s="7">
        <v>14</v>
      </c>
      <c r="I69" s="7">
        <v>9</v>
      </c>
      <c r="J69" s="5">
        <f>I69/H69</f>
        <v>0.6428571428571429</v>
      </c>
    </row>
    <row r="70" spans="1:10" x14ac:dyDescent="0.3">
      <c r="A70" s="1" t="s">
        <v>13</v>
      </c>
      <c r="B70" s="1" t="s">
        <v>64</v>
      </c>
      <c r="C70" s="3">
        <v>4</v>
      </c>
      <c r="D70" s="3">
        <v>0.223</v>
      </c>
      <c r="E70" s="3">
        <f>(C70 - MIN(C:C)) / (MAX(C:C) - MIN(C:C))</f>
        <v>0.1750291715285881</v>
      </c>
      <c r="F70" s="3">
        <f>1 - ((D70 - MIN(D:D)) / (MAX(D:D) - MIN(D:D)))</f>
        <v>0.52500000000000002</v>
      </c>
      <c r="G70" s="3">
        <f>0.5 *E70+0.5*F70</f>
        <v>0.35001458576429406</v>
      </c>
      <c r="H70" s="7">
        <v>19</v>
      </c>
      <c r="I70" s="7">
        <v>10</v>
      </c>
      <c r="J70" s="5">
        <f>I70/H70</f>
        <v>0.52631578947368418</v>
      </c>
    </row>
    <row r="71" spans="1:10" x14ac:dyDescent="0.3">
      <c r="A71" s="1" t="s">
        <v>6</v>
      </c>
      <c r="B71" s="1" t="s">
        <v>23</v>
      </c>
      <c r="C71" s="3">
        <v>3.5</v>
      </c>
      <c r="D71" s="3">
        <v>0.21</v>
      </c>
      <c r="E71" s="3">
        <f>(C71 - MIN(C:C)) / (MAX(C:C) - MIN(C:C))</f>
        <v>0.11668611435239207</v>
      </c>
      <c r="F71" s="3">
        <f>1 - ((D71 - MIN(D:D)) / (MAX(D:D) - MIN(D:D)))</f>
        <v>0.59000000000000008</v>
      </c>
      <c r="G71" s="3">
        <f>0.5 *E71+0.5*F71</f>
        <v>0.35334305717619607</v>
      </c>
      <c r="H71" s="7">
        <v>14</v>
      </c>
      <c r="I71" s="7">
        <v>5</v>
      </c>
      <c r="J71" s="5">
        <f>I71/H71</f>
        <v>0.35714285714285715</v>
      </c>
    </row>
    <row r="72" spans="1:10" x14ac:dyDescent="0.3">
      <c r="A72" s="1" t="s">
        <v>15</v>
      </c>
      <c r="B72" s="1" t="s">
        <v>75</v>
      </c>
      <c r="C72" s="3">
        <v>6.25</v>
      </c>
      <c r="D72" s="3">
        <v>0.27300000000000002</v>
      </c>
      <c r="E72" s="3">
        <f>(C72 - MIN(C:C)) / (MAX(C:C) - MIN(C:C))</f>
        <v>0.43757292882147025</v>
      </c>
      <c r="F72" s="3">
        <f>1 - ((D72 - MIN(D:D)) / (MAX(D:D) - MIN(D:D)))</f>
        <v>0.27499999999999991</v>
      </c>
      <c r="G72" s="3">
        <f>0.5 *E72+0.5*F72</f>
        <v>0.35628646441073508</v>
      </c>
      <c r="H72" s="7">
        <v>16</v>
      </c>
      <c r="I72" s="7">
        <v>12</v>
      </c>
      <c r="J72" s="5">
        <f>I72/H72</f>
        <v>0.75</v>
      </c>
    </row>
    <row r="73" spans="1:10" x14ac:dyDescent="0.3">
      <c r="A73" s="1" t="s">
        <v>8</v>
      </c>
      <c r="B73" s="1" t="s">
        <v>61</v>
      </c>
      <c r="C73" s="3">
        <v>4.38</v>
      </c>
      <c r="D73" s="3">
        <v>0.22800000000000001</v>
      </c>
      <c r="E73" s="3">
        <f>(C73 - MIN(C:C)) / (MAX(C:C) - MIN(C:C))</f>
        <v>0.21936989498249707</v>
      </c>
      <c r="F73" s="3">
        <f>1 - ((D73 - MIN(D:D)) / (MAX(D:D) - MIN(D:D)))</f>
        <v>0.5</v>
      </c>
      <c r="G73" s="3">
        <f>0.5 *E73+0.5*F73</f>
        <v>0.35968494749124852</v>
      </c>
      <c r="H73" s="7">
        <v>14</v>
      </c>
      <c r="I73" s="7">
        <v>8</v>
      </c>
      <c r="J73" s="5">
        <f>I73/H73</f>
        <v>0.5714285714285714</v>
      </c>
    </row>
    <row r="74" spans="1:10" x14ac:dyDescent="0.3">
      <c r="A74" s="1" t="s">
        <v>32</v>
      </c>
      <c r="B74" s="1" t="s">
        <v>52</v>
      </c>
      <c r="C74" s="3">
        <v>5.5</v>
      </c>
      <c r="D74" s="3">
        <v>0.254</v>
      </c>
      <c r="E74" s="3">
        <f>(C74 - MIN(C:C)) / (MAX(C:C) - MIN(C:C))</f>
        <v>0.3500583430571762</v>
      </c>
      <c r="F74" s="3">
        <f>1 - ((D74 - MIN(D:D)) / (MAX(D:D) - MIN(D:D)))</f>
        <v>0.37</v>
      </c>
      <c r="G74" s="3">
        <f>0.5 *E74+0.5*F74</f>
        <v>0.3600291715285881</v>
      </c>
      <c r="H74" s="7">
        <v>13</v>
      </c>
      <c r="I74" s="7">
        <v>5</v>
      </c>
      <c r="J74" s="5">
        <f>I74/H74</f>
        <v>0.38461538461538464</v>
      </c>
    </row>
    <row r="75" spans="1:10" x14ac:dyDescent="0.3">
      <c r="A75" s="1" t="s">
        <v>36</v>
      </c>
      <c r="B75" s="1" t="s">
        <v>62</v>
      </c>
      <c r="C75" s="3">
        <v>2.5</v>
      </c>
      <c r="D75" s="3">
        <v>0.183</v>
      </c>
      <c r="E75" s="3">
        <f>(C75 - MIN(C:C)) / (MAX(C:C) - MIN(C:C))</f>
        <v>0</v>
      </c>
      <c r="F75" s="3">
        <f>1 - ((D75 - MIN(D:D)) / (MAX(D:D) - MIN(D:D)))</f>
        <v>0.72500000000000009</v>
      </c>
      <c r="G75" s="3">
        <f>0.5 *E75+0.5*F75</f>
        <v>0.36250000000000004</v>
      </c>
      <c r="H75" s="7">
        <v>18</v>
      </c>
      <c r="I75" s="7">
        <v>5</v>
      </c>
      <c r="J75" s="5">
        <f>I75/H75</f>
        <v>0.27777777777777779</v>
      </c>
    </row>
    <row r="76" spans="1:10" x14ac:dyDescent="0.3">
      <c r="A76" s="1" t="s">
        <v>24</v>
      </c>
      <c r="B76" s="1" t="s">
        <v>23</v>
      </c>
      <c r="C76" s="3">
        <v>3.75</v>
      </c>
      <c r="D76" s="3">
        <v>0.21199999999999999</v>
      </c>
      <c r="E76" s="3">
        <f>(C76 - MIN(C:C)) / (MAX(C:C) - MIN(C:C))</f>
        <v>0.14585764294049008</v>
      </c>
      <c r="F76" s="3">
        <f>1 - ((D76 - MIN(D:D)) / (MAX(D:D) - MIN(D:D)))</f>
        <v>0.58000000000000007</v>
      </c>
      <c r="G76" s="3">
        <f>0.5 *E76+0.5*F76</f>
        <v>0.36292882147024508</v>
      </c>
      <c r="H76" s="7">
        <v>16</v>
      </c>
      <c r="I76" s="7">
        <v>9</v>
      </c>
      <c r="J76" s="5">
        <f>I76/H76</f>
        <v>0.5625</v>
      </c>
    </row>
    <row r="77" spans="1:10" x14ac:dyDescent="0.3">
      <c r="A77" s="1" t="s">
        <v>20</v>
      </c>
      <c r="B77" s="1" t="s">
        <v>23</v>
      </c>
      <c r="C77" s="3">
        <v>4.5</v>
      </c>
      <c r="D77" s="3">
        <v>0.22900000000000001</v>
      </c>
      <c r="E77" s="3">
        <f>(C77 - MIN(C:C)) / (MAX(C:C) - MIN(C:C))</f>
        <v>0.23337222870478413</v>
      </c>
      <c r="F77" s="3">
        <f>1 - ((D77 - MIN(D:D)) / (MAX(D:D) - MIN(D:D)))</f>
        <v>0.495</v>
      </c>
      <c r="G77" s="3">
        <f>0.5 *E77+0.5*F77</f>
        <v>0.36418611435239207</v>
      </c>
      <c r="H77" s="7">
        <v>15</v>
      </c>
      <c r="I77" s="7">
        <v>6</v>
      </c>
      <c r="J77" s="5">
        <f>I77/H77</f>
        <v>0.4</v>
      </c>
    </row>
    <row r="78" spans="1:10" x14ac:dyDescent="0.3">
      <c r="A78" s="1" t="s">
        <v>24</v>
      </c>
      <c r="B78" s="1" t="s">
        <v>23</v>
      </c>
      <c r="C78" s="3">
        <v>4.17</v>
      </c>
      <c r="D78" s="3">
        <v>0.221</v>
      </c>
      <c r="E78" s="3">
        <f>(C78 - MIN(C:C)) / (MAX(C:C) - MIN(C:C))</f>
        <v>0.19486581096849473</v>
      </c>
      <c r="F78" s="3">
        <f>1 - ((D78 - MIN(D:D)) / (MAX(D:D) - MIN(D:D)))</f>
        <v>0.53500000000000003</v>
      </c>
      <c r="G78" s="3">
        <f>0.5 *E78+0.5*F78</f>
        <v>0.36493290548424739</v>
      </c>
      <c r="H78" s="7">
        <v>19</v>
      </c>
      <c r="I78" s="7">
        <v>9</v>
      </c>
      <c r="J78" s="5">
        <f>I78/H78</f>
        <v>0.47368421052631576</v>
      </c>
    </row>
    <row r="79" spans="1:10" x14ac:dyDescent="0.3">
      <c r="A79" s="1" t="s">
        <v>8</v>
      </c>
      <c r="B79" s="1" t="s">
        <v>47</v>
      </c>
      <c r="C79" s="3">
        <v>3.75</v>
      </c>
      <c r="D79" s="3">
        <v>0.21099999999999999</v>
      </c>
      <c r="E79" s="3">
        <f>(C79 - MIN(C:C)) / (MAX(C:C) - MIN(C:C))</f>
        <v>0.14585764294049008</v>
      </c>
      <c r="F79" s="3">
        <f>1 - ((D79 - MIN(D:D)) / (MAX(D:D) - MIN(D:D)))</f>
        <v>0.58500000000000008</v>
      </c>
      <c r="G79" s="3">
        <f>0.5 *E79+0.5*F79</f>
        <v>0.36542882147024508</v>
      </c>
      <c r="H79" s="7">
        <v>10</v>
      </c>
      <c r="I79" s="7">
        <v>4</v>
      </c>
      <c r="J79" s="5">
        <f>I79/H79</f>
        <v>0.4</v>
      </c>
    </row>
    <row r="80" spans="1:10" x14ac:dyDescent="0.3">
      <c r="A80" s="1" t="s">
        <v>6</v>
      </c>
      <c r="B80" s="1" t="s">
        <v>7</v>
      </c>
      <c r="C80" s="3">
        <v>4.17</v>
      </c>
      <c r="D80" s="3">
        <v>0.22</v>
      </c>
      <c r="E80" s="3">
        <f>(C80 - MIN(C:C)) / (MAX(C:C) - MIN(C:C))</f>
        <v>0.19486581096849473</v>
      </c>
      <c r="F80" s="3">
        <f>1 - ((D80 - MIN(D:D)) / (MAX(D:D) - MIN(D:D)))</f>
        <v>0.54</v>
      </c>
      <c r="G80" s="3">
        <f>0.5 *E80+0.5*F80</f>
        <v>0.3674329054842474</v>
      </c>
      <c r="H80" s="7">
        <v>17</v>
      </c>
      <c r="I80" s="7">
        <v>9</v>
      </c>
      <c r="J80" s="5">
        <f>I80/H80</f>
        <v>0.52941176470588236</v>
      </c>
    </row>
    <row r="81" spans="1:10" x14ac:dyDescent="0.3">
      <c r="A81" s="1" t="s">
        <v>28</v>
      </c>
      <c r="B81" s="1" t="s">
        <v>41</v>
      </c>
      <c r="C81" s="3">
        <v>3.75</v>
      </c>
      <c r="D81" s="3">
        <v>0.21</v>
      </c>
      <c r="E81" s="3">
        <f>(C81 - MIN(C:C)) / (MAX(C:C) - MIN(C:C))</f>
        <v>0.14585764294049008</v>
      </c>
      <c r="F81" s="3">
        <f>1 - ((D81 - MIN(D:D)) / (MAX(D:D) - MIN(D:D)))</f>
        <v>0.59000000000000008</v>
      </c>
      <c r="G81" s="3">
        <f>0.5 *E81+0.5*F81</f>
        <v>0.36792882147024508</v>
      </c>
      <c r="H81" s="7">
        <v>19</v>
      </c>
      <c r="I81" s="7">
        <v>10</v>
      </c>
      <c r="J81" s="5">
        <f>I81/H81</f>
        <v>0.52631578947368418</v>
      </c>
    </row>
    <row r="82" spans="1:10" x14ac:dyDescent="0.3">
      <c r="A82" s="1" t="s">
        <v>13</v>
      </c>
      <c r="B82" s="1" t="s">
        <v>70</v>
      </c>
      <c r="C82" s="3">
        <v>3.06</v>
      </c>
      <c r="D82" s="3">
        <v>0.193</v>
      </c>
      <c r="E82" s="3">
        <f>(C82 - MIN(C:C)) / (MAX(C:C) - MIN(C:C))</f>
        <v>6.5344224037339554E-2</v>
      </c>
      <c r="F82" s="3">
        <f>1 - ((D82 - MIN(D:D)) / (MAX(D:D) - MIN(D:D)))</f>
        <v>0.67500000000000004</v>
      </c>
      <c r="G82" s="3">
        <f>0.5 *E82+0.5*F82</f>
        <v>0.37017211201866979</v>
      </c>
      <c r="H82" s="7">
        <v>18</v>
      </c>
      <c r="I82" s="7">
        <v>10</v>
      </c>
      <c r="J82" s="5">
        <f>I82/H82</f>
        <v>0.55555555555555558</v>
      </c>
    </row>
    <row r="83" spans="1:10" x14ac:dyDescent="0.3">
      <c r="A83" s="1" t="s">
        <v>38</v>
      </c>
      <c r="B83" s="1" t="s">
        <v>74</v>
      </c>
      <c r="C83" s="3">
        <v>4.5</v>
      </c>
      <c r="D83" s="3">
        <v>0.22600000000000001</v>
      </c>
      <c r="E83" s="3">
        <f>(C83 - MIN(C:C)) / (MAX(C:C) - MIN(C:C))</f>
        <v>0.23337222870478413</v>
      </c>
      <c r="F83" s="3">
        <f>1 - ((D83 - MIN(D:D)) / (MAX(D:D) - MIN(D:D)))</f>
        <v>0.51</v>
      </c>
      <c r="G83" s="3">
        <f>0.5 *E83+0.5*F83</f>
        <v>0.37168611435239207</v>
      </c>
      <c r="H83" s="7">
        <v>18</v>
      </c>
      <c r="I83" s="7">
        <v>10</v>
      </c>
      <c r="J83" s="5">
        <f>I83/H83</f>
        <v>0.55555555555555558</v>
      </c>
    </row>
    <row r="84" spans="1:10" x14ac:dyDescent="0.3">
      <c r="A84" s="1" t="s">
        <v>8</v>
      </c>
      <c r="B84" s="1" t="s">
        <v>12</v>
      </c>
      <c r="C84" s="3">
        <v>4.5</v>
      </c>
      <c r="D84" s="3">
        <v>0.224</v>
      </c>
      <c r="E84" s="3">
        <f>(C84 - MIN(C:C)) / (MAX(C:C) - MIN(C:C))</f>
        <v>0.23337222870478413</v>
      </c>
      <c r="F84" s="3">
        <f>1 - ((D84 - MIN(D:D)) / (MAX(D:D) - MIN(D:D)))</f>
        <v>0.52</v>
      </c>
      <c r="G84" s="3">
        <f>0.5 *E84+0.5*F84</f>
        <v>0.37668611435239208</v>
      </c>
      <c r="H84" s="7">
        <v>9</v>
      </c>
      <c r="I84" s="7">
        <v>5</v>
      </c>
      <c r="J84" s="5">
        <f>I84/H84</f>
        <v>0.55555555555555558</v>
      </c>
    </row>
    <row r="85" spans="1:10" x14ac:dyDescent="0.3">
      <c r="A85" s="1" t="s">
        <v>42</v>
      </c>
      <c r="B85" s="1" t="s">
        <v>23</v>
      </c>
      <c r="C85" s="3">
        <v>2.86</v>
      </c>
      <c r="D85" s="3">
        <v>0.182</v>
      </c>
      <c r="E85" s="3">
        <f>(C85 - MIN(C:C)) / (MAX(C:C) - MIN(C:C))</f>
        <v>4.2007001166861124E-2</v>
      </c>
      <c r="F85" s="3">
        <f>1 - ((D85 - MIN(D:D)) / (MAX(D:D) - MIN(D:D)))</f>
        <v>0.73</v>
      </c>
      <c r="G85" s="3">
        <f>0.5 *E85+0.5*F85</f>
        <v>0.38600350058343058</v>
      </c>
      <c r="H85" s="7">
        <v>16</v>
      </c>
      <c r="I85" s="7">
        <v>14</v>
      </c>
      <c r="J85" s="5">
        <f>I85/H85</f>
        <v>0.875</v>
      </c>
    </row>
    <row r="86" spans="1:10" x14ac:dyDescent="0.3">
      <c r="A86" s="1" t="s">
        <v>20</v>
      </c>
      <c r="B86" s="1" t="s">
        <v>34</v>
      </c>
      <c r="C86" s="3">
        <v>6.94</v>
      </c>
      <c r="D86" s="3">
        <v>0.27700000000000002</v>
      </c>
      <c r="E86" s="3">
        <f>(C86 - MIN(C:C)) / (MAX(C:C) - MIN(C:C))</f>
        <v>0.51808634772462081</v>
      </c>
      <c r="F86" s="3">
        <f>1 - ((D86 - MIN(D:D)) / (MAX(D:D) - MIN(D:D)))</f>
        <v>0.25499999999999989</v>
      </c>
      <c r="G86" s="3">
        <f>0.5 *E86+0.5*F86</f>
        <v>0.38654317386231035</v>
      </c>
      <c r="H86" s="7">
        <v>17</v>
      </c>
      <c r="I86" s="7">
        <v>11</v>
      </c>
      <c r="J86" s="5">
        <f>I86/H86</f>
        <v>0.6470588235294118</v>
      </c>
    </row>
    <row r="87" spans="1:10" x14ac:dyDescent="0.3">
      <c r="A87" s="1" t="s">
        <v>28</v>
      </c>
      <c r="B87" s="1" t="s">
        <v>53</v>
      </c>
      <c r="C87" s="3">
        <v>3.5</v>
      </c>
      <c r="D87" s="3">
        <v>0.19600000000000001</v>
      </c>
      <c r="E87" s="3">
        <f>(C87 - MIN(C:C)) / (MAX(C:C) - MIN(C:C))</f>
        <v>0.11668611435239207</v>
      </c>
      <c r="F87" s="3">
        <f>1 - ((D87 - MIN(D:D)) / (MAX(D:D) - MIN(D:D)))</f>
        <v>0.65999999999999992</v>
      </c>
      <c r="G87" s="3">
        <f>0.5 *E87+0.5*F87</f>
        <v>0.38834305717619599</v>
      </c>
      <c r="H87" s="7">
        <v>17</v>
      </c>
      <c r="I87" s="7">
        <v>7</v>
      </c>
      <c r="J87" s="5">
        <f>I87/H87</f>
        <v>0.41176470588235292</v>
      </c>
    </row>
    <row r="88" spans="1:10" x14ac:dyDescent="0.3">
      <c r="A88" s="1" t="s">
        <v>13</v>
      </c>
      <c r="B88" s="1" t="s">
        <v>14</v>
      </c>
      <c r="C88" s="3">
        <v>5</v>
      </c>
      <c r="D88" s="3">
        <v>0.22600000000000001</v>
      </c>
      <c r="E88" s="3">
        <f>(C88 - MIN(C:C)) / (MAX(C:C) - MIN(C:C))</f>
        <v>0.29171528588098017</v>
      </c>
      <c r="F88" s="3">
        <f>1 - ((D88 - MIN(D:D)) / (MAX(D:D) - MIN(D:D)))</f>
        <v>0.51</v>
      </c>
      <c r="G88" s="3">
        <f>0.5 *E88+0.5*F88</f>
        <v>0.40085764294049009</v>
      </c>
      <c r="H88" s="7">
        <v>28</v>
      </c>
      <c r="I88" s="7">
        <v>5</v>
      </c>
      <c r="J88" s="5">
        <f>I88/H88</f>
        <v>0.17857142857142858</v>
      </c>
    </row>
    <row r="89" spans="1:10" x14ac:dyDescent="0.3">
      <c r="A89" s="1" t="s">
        <v>20</v>
      </c>
      <c r="B89" s="1" t="s">
        <v>23</v>
      </c>
      <c r="C89" s="3">
        <v>5</v>
      </c>
      <c r="D89" s="3">
        <v>0.223</v>
      </c>
      <c r="E89" s="3">
        <f>(C89 - MIN(C:C)) / (MAX(C:C) - MIN(C:C))</f>
        <v>0.29171528588098017</v>
      </c>
      <c r="F89" s="3">
        <f>1 - ((D89 - MIN(D:D)) / (MAX(D:D) - MIN(D:D)))</f>
        <v>0.52500000000000002</v>
      </c>
      <c r="G89" s="3">
        <f>0.5 *E89+0.5*F89</f>
        <v>0.4083576429404901</v>
      </c>
      <c r="H89" s="7">
        <v>13</v>
      </c>
      <c r="I89" s="7">
        <v>8</v>
      </c>
      <c r="J89" s="5">
        <f>I89/H89</f>
        <v>0.61538461538461542</v>
      </c>
    </row>
    <row r="90" spans="1:10" x14ac:dyDescent="0.3">
      <c r="A90" s="1" t="s">
        <v>13</v>
      </c>
      <c r="B90" s="1" t="s">
        <v>55</v>
      </c>
      <c r="C90" s="3">
        <v>2.5</v>
      </c>
      <c r="D90" s="3">
        <v>0.16300000000000001</v>
      </c>
      <c r="E90" s="3">
        <f>(C90 - MIN(C:C)) / (MAX(C:C) - MIN(C:C))</f>
        <v>0</v>
      </c>
      <c r="F90" s="3">
        <f>1 - ((D90 - MIN(D:D)) / (MAX(D:D) - MIN(D:D)))</f>
        <v>0.82499999999999996</v>
      </c>
      <c r="G90" s="3">
        <f>0.5 *E90+0.5*F90</f>
        <v>0.41249999999999998</v>
      </c>
      <c r="H90" s="7">
        <v>20</v>
      </c>
      <c r="I90" s="7">
        <v>9</v>
      </c>
      <c r="J90" s="5">
        <f>I90/H90</f>
        <v>0.45</v>
      </c>
    </row>
    <row r="91" spans="1:10" x14ac:dyDescent="0.3">
      <c r="A91" s="1" t="s">
        <v>24</v>
      </c>
      <c r="B91" s="1" t="s">
        <v>27</v>
      </c>
      <c r="C91" s="3">
        <v>3.33</v>
      </c>
      <c r="D91" s="3">
        <v>0.182</v>
      </c>
      <c r="E91" s="3">
        <f>(C91 - MIN(C:C)) / (MAX(C:C) - MIN(C:C))</f>
        <v>9.6849474912485425E-2</v>
      </c>
      <c r="F91" s="3">
        <f>1 - ((D91 - MIN(D:D)) / (MAX(D:D) - MIN(D:D)))</f>
        <v>0.73</v>
      </c>
      <c r="G91" s="3">
        <f>0.5 *E91+0.5*F91</f>
        <v>0.4134247374562427</v>
      </c>
      <c r="H91" s="7">
        <v>17</v>
      </c>
      <c r="I91" s="7">
        <v>8</v>
      </c>
      <c r="J91" s="5">
        <f>I91/H91</f>
        <v>0.47058823529411764</v>
      </c>
    </row>
    <row r="92" spans="1:10" x14ac:dyDescent="0.3">
      <c r="A92" s="1" t="s">
        <v>36</v>
      </c>
      <c r="B92" s="1" t="s">
        <v>48</v>
      </c>
      <c r="C92" s="3">
        <v>6.25</v>
      </c>
      <c r="D92" s="3">
        <v>0.25</v>
      </c>
      <c r="E92" s="3">
        <f>(C92 - MIN(C:C)) / (MAX(C:C) - MIN(C:C))</f>
        <v>0.43757292882147025</v>
      </c>
      <c r="F92" s="3">
        <f>1 - ((D92 - MIN(D:D)) / (MAX(D:D) - MIN(D:D)))</f>
        <v>0.39</v>
      </c>
      <c r="G92" s="3">
        <f>0.5 *E92+0.5*F92</f>
        <v>0.41378646441073513</v>
      </c>
      <c r="H92" s="7">
        <v>15</v>
      </c>
      <c r="I92" s="7">
        <v>5</v>
      </c>
      <c r="J92" s="5">
        <f>I92/H92</f>
        <v>0.33333333333333331</v>
      </c>
    </row>
    <row r="93" spans="1:10" x14ac:dyDescent="0.3">
      <c r="A93" s="1" t="s">
        <v>28</v>
      </c>
      <c r="B93" s="1" t="s">
        <v>45</v>
      </c>
      <c r="C93" s="3">
        <v>4.17</v>
      </c>
      <c r="D93" s="3">
        <v>0.20100000000000001</v>
      </c>
      <c r="E93" s="3">
        <f>(C93 - MIN(C:C)) / (MAX(C:C) - MIN(C:C))</f>
        <v>0.19486581096849473</v>
      </c>
      <c r="F93" s="3">
        <f>1 - ((D93 - MIN(D:D)) / (MAX(D:D) - MIN(D:D)))</f>
        <v>0.63500000000000001</v>
      </c>
      <c r="G93" s="3">
        <f>0.5 *E93+0.5*F93</f>
        <v>0.41493290548424738</v>
      </c>
      <c r="H93" s="7">
        <v>17</v>
      </c>
      <c r="I93" s="7">
        <v>9</v>
      </c>
      <c r="J93" s="5">
        <f>I93/H93</f>
        <v>0.52941176470588236</v>
      </c>
    </row>
    <row r="94" spans="1:10" x14ac:dyDescent="0.3">
      <c r="A94" s="1" t="s">
        <v>17</v>
      </c>
      <c r="B94" s="1" t="s">
        <v>59</v>
      </c>
      <c r="C94" s="3">
        <v>5.42</v>
      </c>
      <c r="D94" s="3">
        <v>0.22900000000000001</v>
      </c>
      <c r="E94" s="3">
        <f>(C94 - MIN(C:C)) / (MAX(C:C) - MIN(C:C))</f>
        <v>0.34072345390898479</v>
      </c>
      <c r="F94" s="3">
        <f>1 - ((D94 - MIN(D:D)) / (MAX(D:D) - MIN(D:D)))</f>
        <v>0.495</v>
      </c>
      <c r="G94" s="3">
        <f>0.5 *E94+0.5*F94</f>
        <v>0.41786172695449242</v>
      </c>
      <c r="H94" s="7">
        <v>17</v>
      </c>
      <c r="I94" s="7">
        <v>12</v>
      </c>
      <c r="J94" s="5">
        <f>I94/H94</f>
        <v>0.70588235294117652</v>
      </c>
    </row>
    <row r="95" spans="1:10" x14ac:dyDescent="0.3">
      <c r="A95" s="1" t="s">
        <v>24</v>
      </c>
      <c r="B95" s="1" t="s">
        <v>23</v>
      </c>
      <c r="C95" s="3">
        <v>4.7699999999999996</v>
      </c>
      <c r="D95" s="3">
        <v>0.21199999999999999</v>
      </c>
      <c r="E95" s="3">
        <f>(C95 - MIN(C:C)) / (MAX(C:C) - MIN(C:C))</f>
        <v>0.26487747957992991</v>
      </c>
      <c r="F95" s="3">
        <f>1 - ((D95 - MIN(D:D)) / (MAX(D:D) - MIN(D:D)))</f>
        <v>0.58000000000000007</v>
      </c>
      <c r="G95" s="3">
        <f>0.5 *E95+0.5*F95</f>
        <v>0.42243873978996499</v>
      </c>
      <c r="H95" s="7">
        <v>18</v>
      </c>
      <c r="I95" s="7">
        <v>11</v>
      </c>
      <c r="J95" s="5">
        <f>I95/H95</f>
        <v>0.61111111111111116</v>
      </c>
    </row>
    <row r="96" spans="1:10" x14ac:dyDescent="0.3">
      <c r="A96" s="1" t="s">
        <v>17</v>
      </c>
      <c r="B96" s="1" t="s">
        <v>56</v>
      </c>
      <c r="C96" s="3">
        <v>5.42</v>
      </c>
      <c r="D96" s="3">
        <v>0.22700000000000001</v>
      </c>
      <c r="E96" s="3">
        <f>(C96 - MIN(C:C)) / (MAX(C:C) - MIN(C:C))</f>
        <v>0.34072345390898479</v>
      </c>
      <c r="F96" s="3">
        <f>1 - ((D96 - MIN(D:D)) / (MAX(D:D) - MIN(D:D)))</f>
        <v>0.505</v>
      </c>
      <c r="G96" s="3">
        <f>0.5 *E96+0.5*F96</f>
        <v>0.42286172695449242</v>
      </c>
      <c r="H96" s="7">
        <v>19</v>
      </c>
      <c r="I96" s="7">
        <v>12</v>
      </c>
      <c r="J96" s="5">
        <f>I96/H96</f>
        <v>0.63157894736842102</v>
      </c>
    </row>
    <row r="97" spans="1:10" x14ac:dyDescent="0.3">
      <c r="A97" s="1" t="s">
        <v>13</v>
      </c>
      <c r="B97" s="1" t="s">
        <v>57</v>
      </c>
      <c r="C97" s="3">
        <v>3.61</v>
      </c>
      <c r="D97" s="3">
        <v>0.184</v>
      </c>
      <c r="E97" s="3">
        <f>(C97 - MIN(C:C)) / (MAX(C:C) - MIN(C:C))</f>
        <v>0.12952158693115517</v>
      </c>
      <c r="F97" s="3">
        <f>1 - ((D97 - MIN(D:D)) / (MAX(D:D) - MIN(D:D)))</f>
        <v>0.72</v>
      </c>
      <c r="G97" s="3">
        <f>0.5 *E97+0.5*F97</f>
        <v>0.4247607934655776</v>
      </c>
      <c r="H97" s="7">
        <v>17</v>
      </c>
      <c r="I97" s="7">
        <v>9</v>
      </c>
      <c r="J97" s="5">
        <f>I97/H97</f>
        <v>0.52941176470588236</v>
      </c>
    </row>
    <row r="98" spans="1:10" x14ac:dyDescent="0.3">
      <c r="A98" s="1" t="s">
        <v>28</v>
      </c>
      <c r="B98" s="1" t="s">
        <v>29</v>
      </c>
      <c r="C98" s="3">
        <v>4.17</v>
      </c>
      <c r="D98" s="3">
        <v>0.19700000000000001</v>
      </c>
      <c r="E98" s="3">
        <f>(C98 - MIN(C:C)) / (MAX(C:C) - MIN(C:C))</f>
        <v>0.19486581096849473</v>
      </c>
      <c r="F98" s="3">
        <f>1 - ((D98 - MIN(D:D)) / (MAX(D:D) - MIN(D:D)))</f>
        <v>0.65500000000000003</v>
      </c>
      <c r="G98" s="3">
        <f>0.5 *E98+0.5*F98</f>
        <v>0.42493290548424739</v>
      </c>
      <c r="H98" s="7">
        <v>18</v>
      </c>
      <c r="I98" s="7">
        <v>6</v>
      </c>
      <c r="J98" s="5">
        <f>I98/H98</f>
        <v>0.33333333333333331</v>
      </c>
    </row>
    <row r="99" spans="1:10" x14ac:dyDescent="0.3">
      <c r="A99" s="1" t="s">
        <v>6</v>
      </c>
      <c r="B99" s="1" t="s">
        <v>67</v>
      </c>
      <c r="C99" s="3">
        <v>3.5</v>
      </c>
      <c r="D99" s="3">
        <v>0.18099999999999999</v>
      </c>
      <c r="E99" s="3">
        <f>(C99 - MIN(C:C)) / (MAX(C:C) - MIN(C:C))</f>
        <v>0.11668611435239207</v>
      </c>
      <c r="F99" s="3">
        <f>1 - ((D99 - MIN(D:D)) / (MAX(D:D) - MIN(D:D)))</f>
        <v>0.7350000000000001</v>
      </c>
      <c r="G99" s="3">
        <f>0.5 *E99+0.5*F99</f>
        <v>0.42584305717619608</v>
      </c>
      <c r="H99" s="7">
        <v>15</v>
      </c>
      <c r="I99" s="7">
        <v>12</v>
      </c>
      <c r="J99" s="5">
        <f>I99/H99</f>
        <v>0.8</v>
      </c>
    </row>
    <row r="100" spans="1:10" x14ac:dyDescent="0.3">
      <c r="A100" s="1" t="s">
        <v>20</v>
      </c>
      <c r="B100" s="1" t="s">
        <v>23</v>
      </c>
      <c r="C100" s="3">
        <v>6.07</v>
      </c>
      <c r="D100" s="3">
        <v>0.24</v>
      </c>
      <c r="E100" s="3">
        <f>(C100 - MIN(C:C)) / (MAX(C:C) - MIN(C:C))</f>
        <v>0.41656942823803972</v>
      </c>
      <c r="F100" s="3">
        <f>1 - ((D100 - MIN(D:D)) / (MAX(D:D) - MIN(D:D)))</f>
        <v>0.44000000000000006</v>
      </c>
      <c r="G100" s="3">
        <f>0.5 *E100+0.5*F100</f>
        <v>0.42828471411901992</v>
      </c>
      <c r="H100" s="7">
        <v>16</v>
      </c>
      <c r="I100" s="7">
        <v>8</v>
      </c>
      <c r="J100" s="5">
        <f>I100/H100</f>
        <v>0.5</v>
      </c>
    </row>
    <row r="101" spans="1:10" x14ac:dyDescent="0.3">
      <c r="A101" s="1" t="s">
        <v>24</v>
      </c>
      <c r="B101" s="1" t="s">
        <v>23</v>
      </c>
      <c r="C101" s="3">
        <v>3.61</v>
      </c>
      <c r="D101" s="3">
        <v>0.18</v>
      </c>
      <c r="E101" s="3">
        <f>(C101 - MIN(C:C)) / (MAX(C:C) - MIN(C:C))</f>
        <v>0.12952158693115517</v>
      </c>
      <c r="F101" s="3">
        <f>1 - ((D101 - MIN(D:D)) / (MAX(D:D) - MIN(D:D)))</f>
        <v>0.74</v>
      </c>
      <c r="G101" s="3">
        <f>0.5 *E101+0.5*F101</f>
        <v>0.43476079346557761</v>
      </c>
      <c r="H101" s="7">
        <v>17</v>
      </c>
      <c r="I101" s="7">
        <v>9</v>
      </c>
      <c r="J101" s="5">
        <f>I101/H101</f>
        <v>0.52941176470588236</v>
      </c>
    </row>
    <row r="102" spans="1:10" x14ac:dyDescent="0.3">
      <c r="A102" s="1" t="s">
        <v>20</v>
      </c>
      <c r="B102" s="1" t="s">
        <v>23</v>
      </c>
      <c r="C102" s="3">
        <v>5.83</v>
      </c>
      <c r="D102" s="3">
        <v>0.22900000000000001</v>
      </c>
      <c r="E102" s="3">
        <f>(C102 - MIN(C:C)) / (MAX(C:C) - MIN(C:C))</f>
        <v>0.38856476079346558</v>
      </c>
      <c r="F102" s="3">
        <f>1 - ((D102 - MIN(D:D)) / (MAX(D:D) - MIN(D:D)))</f>
        <v>0.495</v>
      </c>
      <c r="G102" s="3">
        <f>0.5 *E102+0.5*F102</f>
        <v>0.44178238039673279</v>
      </c>
      <c r="H102" s="7">
        <v>14</v>
      </c>
      <c r="I102" s="7">
        <v>3</v>
      </c>
      <c r="J102" s="5">
        <f>I102/H102</f>
        <v>0.21428571428571427</v>
      </c>
    </row>
    <row r="103" spans="1:10" x14ac:dyDescent="0.3">
      <c r="A103" s="1" t="s">
        <v>28</v>
      </c>
      <c r="B103" s="1" t="s">
        <v>53</v>
      </c>
      <c r="C103" s="3">
        <v>5</v>
      </c>
      <c r="D103" s="3">
        <v>0.20899999999999999</v>
      </c>
      <c r="E103" s="3">
        <f>(C103 - MIN(C:C)) / (MAX(C:C) - MIN(C:C))</f>
        <v>0.29171528588098017</v>
      </c>
      <c r="F103" s="3">
        <f>1 - ((D103 - MIN(D:D)) / (MAX(D:D) - MIN(D:D)))</f>
        <v>0.59500000000000008</v>
      </c>
      <c r="G103" s="3">
        <f>0.5 *E103+0.5*F103</f>
        <v>0.44335764294049013</v>
      </c>
      <c r="H103" s="7">
        <v>17</v>
      </c>
      <c r="I103" s="7">
        <v>6</v>
      </c>
      <c r="J103" s="5">
        <f>I103/H103</f>
        <v>0.35294117647058826</v>
      </c>
    </row>
    <row r="104" spans="1:10" x14ac:dyDescent="0.3">
      <c r="A104" s="1" t="s">
        <v>17</v>
      </c>
      <c r="B104" s="1" t="s">
        <v>19</v>
      </c>
      <c r="C104" s="3">
        <v>5.28</v>
      </c>
      <c r="D104" s="3">
        <v>0.215</v>
      </c>
      <c r="E104" s="3">
        <f>(C104 - MIN(C:C)) / (MAX(C:C) - MIN(C:C))</f>
        <v>0.32438739789964999</v>
      </c>
      <c r="F104" s="3">
        <f>1 - ((D104 - MIN(D:D)) / (MAX(D:D) - MIN(D:D)))</f>
        <v>0.56500000000000006</v>
      </c>
      <c r="G104" s="3">
        <f>0.5 *E104+0.5*F104</f>
        <v>0.44469369894982502</v>
      </c>
      <c r="H104" s="7">
        <v>16</v>
      </c>
      <c r="I104" s="7">
        <v>9</v>
      </c>
      <c r="J104" s="5">
        <f>I104/H104</f>
        <v>0.5625</v>
      </c>
    </row>
    <row r="105" spans="1:10" x14ac:dyDescent="0.3">
      <c r="A105" s="1" t="s">
        <v>22</v>
      </c>
      <c r="B105" s="1" t="s">
        <v>23</v>
      </c>
      <c r="C105" s="3">
        <v>2.5</v>
      </c>
      <c r="D105" s="3">
        <v>0.15</v>
      </c>
      <c r="E105" s="3">
        <f>(C105 - MIN(C:C)) / (MAX(C:C) - MIN(C:C))</f>
        <v>0</v>
      </c>
      <c r="F105" s="3">
        <f>1 - ((D105 - MIN(D:D)) / (MAX(D:D) - MIN(D:D)))</f>
        <v>0.89</v>
      </c>
      <c r="G105" s="3">
        <f>0.5 *E105+0.5*F105</f>
        <v>0.44500000000000001</v>
      </c>
      <c r="H105" s="7">
        <v>18</v>
      </c>
      <c r="I105" s="7">
        <v>6</v>
      </c>
      <c r="J105" s="5">
        <f>I105/H105</f>
        <v>0.33333333333333331</v>
      </c>
    </row>
    <row r="106" spans="1:10" x14ac:dyDescent="0.3">
      <c r="A106" s="1" t="s">
        <v>20</v>
      </c>
      <c r="B106" s="1" t="s">
        <v>23</v>
      </c>
      <c r="C106" s="3">
        <v>2.5</v>
      </c>
      <c r="D106" s="3">
        <v>0.14899999999999999</v>
      </c>
      <c r="E106" s="3">
        <f>(C106 - MIN(C:C)) / (MAX(C:C) - MIN(C:C))</f>
        <v>0</v>
      </c>
      <c r="F106" s="3">
        <f>1 - ((D106 - MIN(D:D)) / (MAX(D:D) - MIN(D:D)))</f>
        <v>0.89500000000000002</v>
      </c>
      <c r="G106" s="3">
        <f>0.5 *E106+0.5*F106</f>
        <v>0.44750000000000001</v>
      </c>
      <c r="H106" s="7">
        <v>13</v>
      </c>
      <c r="I106" s="7">
        <v>4</v>
      </c>
      <c r="J106" s="5">
        <f>I106/H106</f>
        <v>0.30769230769230771</v>
      </c>
    </row>
    <row r="107" spans="1:10" x14ac:dyDescent="0.3">
      <c r="A107" s="1" t="s">
        <v>28</v>
      </c>
      <c r="B107" s="1" t="s">
        <v>68</v>
      </c>
      <c r="C107" s="3">
        <v>5.36</v>
      </c>
      <c r="D107" s="3">
        <v>0.21299999999999999</v>
      </c>
      <c r="E107" s="3">
        <f>(C107 - MIN(C:C)) / (MAX(C:C) - MIN(C:C))</f>
        <v>0.33372228704784135</v>
      </c>
      <c r="F107" s="3">
        <f>1 - ((D107 - MIN(D:D)) / (MAX(D:D) - MIN(D:D)))</f>
        <v>0.57500000000000007</v>
      </c>
      <c r="G107" s="3">
        <f>0.5 *E107+0.5*F107</f>
        <v>0.45436114352392071</v>
      </c>
      <c r="H107" s="7">
        <v>17</v>
      </c>
      <c r="I107" s="7">
        <v>8</v>
      </c>
      <c r="J107" s="5">
        <f>I107/H107</f>
        <v>0.47058823529411764</v>
      </c>
    </row>
    <row r="108" spans="1:10" x14ac:dyDescent="0.3">
      <c r="A108" s="1" t="s">
        <v>17</v>
      </c>
      <c r="B108" s="1" t="s">
        <v>18</v>
      </c>
      <c r="C108" s="3">
        <v>4.38</v>
      </c>
      <c r="D108" s="3">
        <v>0.19</v>
      </c>
      <c r="E108" s="3">
        <f>(C108 - MIN(C:C)) / (MAX(C:C) - MIN(C:C))</f>
        <v>0.21936989498249707</v>
      </c>
      <c r="F108" s="3">
        <f>1 - ((D108 - MIN(D:D)) / (MAX(D:D) - MIN(D:D)))</f>
        <v>0.69</v>
      </c>
      <c r="G108" s="3">
        <f>0.5 *E108+0.5*F108</f>
        <v>0.45468494749124849</v>
      </c>
      <c r="H108" s="7">
        <v>15</v>
      </c>
      <c r="I108" s="7">
        <v>8</v>
      </c>
      <c r="J108" s="5">
        <f>I108/H108</f>
        <v>0.53333333333333333</v>
      </c>
    </row>
    <row r="109" spans="1:10" x14ac:dyDescent="0.3">
      <c r="A109" s="1" t="s">
        <v>36</v>
      </c>
      <c r="B109" s="1" t="s">
        <v>37</v>
      </c>
      <c r="C109" s="3">
        <v>5.68</v>
      </c>
      <c r="D109" s="3">
        <v>0.22</v>
      </c>
      <c r="E109" s="3">
        <f>(C109 - MIN(C:C)) / (MAX(C:C) - MIN(C:C))</f>
        <v>0.37106184364060674</v>
      </c>
      <c r="F109" s="3">
        <f>1 - ((D109 - MIN(D:D)) / (MAX(D:D) - MIN(D:D)))</f>
        <v>0.54</v>
      </c>
      <c r="G109" s="3">
        <f>0.5 *E109+0.5*F109</f>
        <v>0.45553092182030341</v>
      </c>
      <c r="H109" s="7">
        <v>16</v>
      </c>
      <c r="I109" s="7">
        <v>11</v>
      </c>
      <c r="J109" s="5">
        <f>I109/H109</f>
        <v>0.6875</v>
      </c>
    </row>
    <row r="110" spans="1:10" x14ac:dyDescent="0.3">
      <c r="A110" s="1" t="s">
        <v>42</v>
      </c>
      <c r="B110" s="1" t="s">
        <v>23</v>
      </c>
      <c r="C110" s="3">
        <v>4.17</v>
      </c>
      <c r="D110" s="3">
        <v>0.18099999999999999</v>
      </c>
      <c r="E110" s="3">
        <f>(C110 - MIN(C:C)) / (MAX(C:C) - MIN(C:C))</f>
        <v>0.19486581096849473</v>
      </c>
      <c r="F110" s="3">
        <f>1 - ((D110 - MIN(D:D)) / (MAX(D:D) - MIN(D:D)))</f>
        <v>0.7350000000000001</v>
      </c>
      <c r="G110" s="3">
        <f>0.5 *E110+0.5*F110</f>
        <v>0.46493290548424743</v>
      </c>
      <c r="H110" s="7">
        <v>11</v>
      </c>
      <c r="I110" s="7">
        <v>3</v>
      </c>
      <c r="J110" s="5">
        <f>I110/H110</f>
        <v>0.27272727272727271</v>
      </c>
    </row>
    <row r="111" spans="1:10" x14ac:dyDescent="0.3">
      <c r="A111" s="1" t="s">
        <v>31</v>
      </c>
      <c r="B111" s="1" t="s">
        <v>23</v>
      </c>
      <c r="C111" s="3">
        <v>7</v>
      </c>
      <c r="D111" s="3">
        <v>0.24299999999999999</v>
      </c>
      <c r="E111" s="3">
        <f>(C111 - MIN(C:C)) / (MAX(C:C) - MIN(C:C))</f>
        <v>0.5250875145857643</v>
      </c>
      <c r="F111" s="3">
        <f>1 - ((D111 - MIN(D:D)) / (MAX(D:D) - MIN(D:D)))</f>
        <v>0.42500000000000004</v>
      </c>
      <c r="G111" s="3">
        <f>0.5 *E111+0.5*F111</f>
        <v>0.47504375729288217</v>
      </c>
      <c r="H111" s="7">
        <v>12</v>
      </c>
      <c r="I111" s="7">
        <v>10</v>
      </c>
      <c r="J111" s="5">
        <f>I111/H111</f>
        <v>0.83333333333333337</v>
      </c>
    </row>
    <row r="112" spans="1:10" x14ac:dyDescent="0.3">
      <c r="A112" s="1" t="s">
        <v>20</v>
      </c>
      <c r="B112" s="1" t="s">
        <v>23</v>
      </c>
      <c r="C112" s="3">
        <v>5.83</v>
      </c>
      <c r="D112" s="3">
        <v>0.21299999999999999</v>
      </c>
      <c r="E112" s="3">
        <f>(C112 - MIN(C:C)) / (MAX(C:C) - MIN(C:C))</f>
        <v>0.38856476079346558</v>
      </c>
      <c r="F112" s="3">
        <f>1 - ((D112 - MIN(D:D)) / (MAX(D:D) - MIN(D:D)))</f>
        <v>0.57500000000000007</v>
      </c>
      <c r="G112" s="3">
        <f>0.5 *E112+0.5*F112</f>
        <v>0.48178238039673282</v>
      </c>
      <c r="H112" s="7">
        <v>15</v>
      </c>
      <c r="I112" s="7">
        <v>9</v>
      </c>
      <c r="J112" s="5">
        <f>I112/H112</f>
        <v>0.6</v>
      </c>
    </row>
    <row r="113" spans="1:10" x14ac:dyDescent="0.3">
      <c r="A113" s="1" t="s">
        <v>24</v>
      </c>
      <c r="B113" s="1" t="s">
        <v>23</v>
      </c>
      <c r="C113" s="3">
        <v>4.17</v>
      </c>
      <c r="D113" s="3">
        <v>0.17399999999999999</v>
      </c>
      <c r="E113" s="3">
        <f>(C113 - MIN(C:C)) / (MAX(C:C) - MIN(C:C))</f>
        <v>0.19486581096849473</v>
      </c>
      <c r="F113" s="3">
        <f>1 - ((D113 - MIN(D:D)) / (MAX(D:D) - MIN(D:D)))</f>
        <v>0.77</v>
      </c>
      <c r="G113" s="3">
        <f>0.5 *E113+0.5*F113</f>
        <v>0.48243290548424739</v>
      </c>
      <c r="H113" s="7">
        <v>20</v>
      </c>
      <c r="I113" s="7">
        <v>11</v>
      </c>
      <c r="J113" s="5">
        <f>I113/H113</f>
        <v>0.55000000000000004</v>
      </c>
    </row>
    <row r="114" spans="1:10" x14ac:dyDescent="0.3">
      <c r="A114" s="1" t="s">
        <v>6</v>
      </c>
      <c r="B114" s="1" t="s">
        <v>58</v>
      </c>
      <c r="C114" s="3">
        <v>6.94</v>
      </c>
      <c r="D114" s="3">
        <v>0.23799999999999999</v>
      </c>
      <c r="E114" s="3">
        <f>(C114 - MIN(C:C)) / (MAX(C:C) - MIN(C:C))</f>
        <v>0.51808634772462081</v>
      </c>
      <c r="F114" s="3">
        <f>1 - ((D114 - MIN(D:D)) / (MAX(D:D) - MIN(D:D)))</f>
        <v>0.45000000000000007</v>
      </c>
      <c r="G114" s="3">
        <f>0.5 *E114+0.5*F114</f>
        <v>0.48404317386231044</v>
      </c>
      <c r="H114" s="7">
        <v>14</v>
      </c>
      <c r="I114" s="7">
        <v>9</v>
      </c>
      <c r="J114" s="5">
        <f>I114/H114</f>
        <v>0.6428571428571429</v>
      </c>
    </row>
    <row r="115" spans="1:10" x14ac:dyDescent="0.3">
      <c r="A115" s="1" t="s">
        <v>17</v>
      </c>
      <c r="B115" s="1" t="s">
        <v>59</v>
      </c>
      <c r="C115" s="3">
        <v>7.5</v>
      </c>
      <c r="D115" s="3">
        <v>0.251</v>
      </c>
      <c r="E115" s="3">
        <f>(C115 - MIN(C:C)) / (MAX(C:C) - MIN(C:C))</f>
        <v>0.58343057176196034</v>
      </c>
      <c r="F115" s="3">
        <f>1 - ((D115 - MIN(D:D)) / (MAX(D:D) - MIN(D:D)))</f>
        <v>0.38500000000000001</v>
      </c>
      <c r="G115" s="3">
        <f>0.5 *E115+0.5*F115</f>
        <v>0.48421528588098017</v>
      </c>
      <c r="H115" s="7">
        <v>17</v>
      </c>
      <c r="I115" s="7">
        <v>11</v>
      </c>
      <c r="J115" s="5">
        <f>I115/H115</f>
        <v>0.6470588235294118</v>
      </c>
    </row>
    <row r="116" spans="1:10" x14ac:dyDescent="0.3">
      <c r="A116" s="1" t="s">
        <v>32</v>
      </c>
      <c r="B116" s="1" t="s">
        <v>33</v>
      </c>
      <c r="C116" s="3">
        <v>2.5</v>
      </c>
      <c r="D116" s="3">
        <v>0.13200000000000001</v>
      </c>
      <c r="E116" s="3">
        <f>(C116 - MIN(C:C)) / (MAX(C:C) - MIN(C:C))</f>
        <v>0</v>
      </c>
      <c r="F116" s="3">
        <f>1 - ((D116 - MIN(D:D)) / (MAX(D:D) - MIN(D:D)))</f>
        <v>0.98</v>
      </c>
      <c r="G116" s="3">
        <f>0.5 *E116+0.5*F116</f>
        <v>0.49</v>
      </c>
      <c r="H116" s="7">
        <v>14</v>
      </c>
      <c r="I116" s="7">
        <v>6</v>
      </c>
      <c r="J116" s="5">
        <f>I116/H116</f>
        <v>0.42857142857142855</v>
      </c>
    </row>
    <row r="117" spans="1:10" x14ac:dyDescent="0.3">
      <c r="A117" s="1" t="s">
        <v>8</v>
      </c>
      <c r="B117" s="1" t="s">
        <v>9</v>
      </c>
      <c r="C117" s="3">
        <v>6.25</v>
      </c>
      <c r="D117" s="3">
        <v>0.21299999999999999</v>
      </c>
      <c r="E117" s="3">
        <f>(C117 - MIN(C:C)) / (MAX(C:C) - MIN(C:C))</f>
        <v>0.43757292882147025</v>
      </c>
      <c r="F117" s="3">
        <f>1 - ((D117 - MIN(D:D)) / (MAX(D:D) - MIN(D:D)))</f>
        <v>0.57500000000000007</v>
      </c>
      <c r="G117" s="3">
        <f>0.5 *E117+0.5*F117</f>
        <v>0.50628646441073522</v>
      </c>
      <c r="H117" s="7">
        <v>14</v>
      </c>
      <c r="I117" s="7">
        <v>5</v>
      </c>
      <c r="J117" s="5">
        <f>I117/H117</f>
        <v>0.35714285714285715</v>
      </c>
    </row>
    <row r="118" spans="1:10" x14ac:dyDescent="0.3">
      <c r="A118" s="1" t="s">
        <v>17</v>
      </c>
      <c r="B118" s="1" t="s">
        <v>30</v>
      </c>
      <c r="C118" s="3">
        <v>3.33</v>
      </c>
      <c r="D118" s="3">
        <v>0.14299999999999999</v>
      </c>
      <c r="E118" s="3">
        <f>(C118 - MIN(C:C)) / (MAX(C:C) - MIN(C:C))</f>
        <v>9.6849474912485425E-2</v>
      </c>
      <c r="F118" s="3">
        <f>1 - ((D118 - MIN(D:D)) / (MAX(D:D) - MIN(D:D)))</f>
        <v>0.92500000000000004</v>
      </c>
      <c r="G118" s="3">
        <f>0.5 *E118+0.5*F118</f>
        <v>0.51092473745624278</v>
      </c>
      <c r="H118" s="7">
        <v>17</v>
      </c>
      <c r="I118" s="7">
        <v>9</v>
      </c>
      <c r="J118" s="5">
        <f>I118/H118</f>
        <v>0.52941176470588236</v>
      </c>
    </row>
    <row r="119" spans="1:10" x14ac:dyDescent="0.3">
      <c r="A119" s="1" t="s">
        <v>8</v>
      </c>
      <c r="B119" s="1" t="s">
        <v>63</v>
      </c>
      <c r="C119" s="3">
        <v>6.07</v>
      </c>
      <c r="D119" s="3">
        <v>0.20100000000000001</v>
      </c>
      <c r="E119" s="3">
        <f>(C119 - MIN(C:C)) / (MAX(C:C) - MIN(C:C))</f>
        <v>0.41656942823803972</v>
      </c>
      <c r="F119" s="3">
        <f>1 - ((D119 - MIN(D:D)) / (MAX(D:D) - MIN(D:D)))</f>
        <v>0.63500000000000001</v>
      </c>
      <c r="G119" s="3">
        <f>0.5 *E119+0.5*F119</f>
        <v>0.52578471411901984</v>
      </c>
      <c r="H119" s="7">
        <v>15</v>
      </c>
      <c r="I119" s="7">
        <v>7</v>
      </c>
      <c r="J119" s="5">
        <f>I119/H119</f>
        <v>0.46666666666666667</v>
      </c>
    </row>
    <row r="120" spans="1:10" x14ac:dyDescent="0.3">
      <c r="A120" s="1" t="s">
        <v>42</v>
      </c>
      <c r="B120" s="1" t="s">
        <v>23</v>
      </c>
      <c r="C120" s="3">
        <v>4.6399999999999997</v>
      </c>
      <c r="D120" s="3">
        <v>0.16500000000000001</v>
      </c>
      <c r="E120" s="3">
        <f>(C120 - MIN(C:C)) / (MAX(C:C) - MIN(C:C))</f>
        <v>0.24970828471411896</v>
      </c>
      <c r="F120" s="3">
        <f>1 - ((D120 - MIN(D:D)) / (MAX(D:D) - MIN(D:D)))</f>
        <v>0.81499999999999995</v>
      </c>
      <c r="G120" s="3">
        <f>0.5 *E120+0.5*F120</f>
        <v>0.53235414235705947</v>
      </c>
      <c r="H120" s="7">
        <v>12</v>
      </c>
      <c r="I120" s="7">
        <v>7</v>
      </c>
      <c r="J120" s="5">
        <f>I120/H120</f>
        <v>0.58333333333333337</v>
      </c>
    </row>
    <row r="121" spans="1:10" x14ac:dyDescent="0.3">
      <c r="A121" s="1" t="s">
        <v>42</v>
      </c>
      <c r="B121" s="1" t="s">
        <v>23</v>
      </c>
      <c r="C121" s="3">
        <v>3.93</v>
      </c>
      <c r="D121" s="3">
        <v>0.14599999999999999</v>
      </c>
      <c r="E121" s="3">
        <f>(C121 - MIN(C:C)) / (MAX(C:C) - MIN(C:C))</f>
        <v>0.16686114352392067</v>
      </c>
      <c r="F121" s="3">
        <f>1 - ((D121 - MIN(D:D)) / (MAX(D:D) - MIN(D:D)))</f>
        <v>0.91</v>
      </c>
      <c r="G121" s="3">
        <f>0.5 *E121+0.5*F121</f>
        <v>0.53843057176196041</v>
      </c>
      <c r="H121" s="7">
        <v>9</v>
      </c>
      <c r="I121" s="7">
        <v>8</v>
      </c>
      <c r="J121" s="5">
        <f>I121/H121</f>
        <v>0.88888888888888884</v>
      </c>
    </row>
    <row r="122" spans="1:10" x14ac:dyDescent="0.3">
      <c r="A122" s="1" t="s">
        <v>24</v>
      </c>
      <c r="B122" s="1" t="s">
        <v>23</v>
      </c>
      <c r="C122" s="3">
        <v>4.5</v>
      </c>
      <c r="D122" s="3">
        <v>0.156</v>
      </c>
      <c r="E122" s="3">
        <f>(C122 - MIN(C:C)) / (MAX(C:C) - MIN(C:C))</f>
        <v>0.23337222870478413</v>
      </c>
      <c r="F122" s="3">
        <f>1 - ((D122 - MIN(D:D)) / (MAX(D:D) - MIN(D:D)))</f>
        <v>0.86</v>
      </c>
      <c r="G122" s="3">
        <f>0.5 *E122+0.5*F122</f>
        <v>0.54668611435239201</v>
      </c>
      <c r="H122" s="7">
        <v>18</v>
      </c>
      <c r="I122" s="7">
        <v>13</v>
      </c>
      <c r="J122" s="5">
        <f>I122/H122</f>
        <v>0.72222222222222221</v>
      </c>
    </row>
    <row r="123" spans="1:10" x14ac:dyDescent="0.3">
      <c r="A123" s="1" t="s">
        <v>36</v>
      </c>
      <c r="B123" s="1" t="s">
        <v>40</v>
      </c>
      <c r="C123" s="3">
        <v>5.62</v>
      </c>
      <c r="D123" s="3">
        <v>0.182</v>
      </c>
      <c r="E123" s="3">
        <f>(C123 - MIN(C:C)) / (MAX(C:C) - MIN(C:C))</f>
        <v>0.36406067677946324</v>
      </c>
      <c r="F123" s="3">
        <f>1 - ((D123 - MIN(D:D)) / (MAX(D:D) - MIN(D:D)))</f>
        <v>0.73</v>
      </c>
      <c r="G123" s="3">
        <f>0.5 *E123+0.5*F123</f>
        <v>0.54703033838973159</v>
      </c>
      <c r="H123" s="7">
        <v>17</v>
      </c>
      <c r="I123" s="7">
        <v>8</v>
      </c>
      <c r="J123" s="5">
        <f>I123/H123</f>
        <v>0.47058823529411764</v>
      </c>
    </row>
    <row r="124" spans="1:10" x14ac:dyDescent="0.3">
      <c r="A124" s="1" t="s">
        <v>20</v>
      </c>
      <c r="B124" s="1" t="s">
        <v>26</v>
      </c>
      <c r="C124" s="3">
        <v>5.83</v>
      </c>
      <c r="D124" s="3">
        <v>0.182</v>
      </c>
      <c r="E124" s="3">
        <f>(C124 - MIN(C:C)) / (MAX(C:C) - MIN(C:C))</f>
        <v>0.38856476079346558</v>
      </c>
      <c r="F124" s="3">
        <f>1 - ((D124 - MIN(D:D)) / (MAX(D:D) - MIN(D:D)))</f>
        <v>0.73</v>
      </c>
      <c r="G124" s="3">
        <f>0.5 *E124+0.5*F124</f>
        <v>0.55928238039673284</v>
      </c>
      <c r="H124" s="7">
        <v>4</v>
      </c>
      <c r="I124" s="7">
        <v>3</v>
      </c>
      <c r="J124" s="5">
        <f>I124/H124</f>
        <v>0.75</v>
      </c>
    </row>
    <row r="125" spans="1:10" x14ac:dyDescent="0.3">
      <c r="A125" s="1" t="s">
        <v>36</v>
      </c>
      <c r="B125" s="1" t="s">
        <v>37</v>
      </c>
      <c r="C125" s="3">
        <v>6.07</v>
      </c>
      <c r="D125" s="3">
        <v>0.187</v>
      </c>
      <c r="E125" s="3">
        <f>(C125 - MIN(C:C)) / (MAX(C:C) - MIN(C:C))</f>
        <v>0.41656942823803972</v>
      </c>
      <c r="F125" s="3">
        <f>1 - ((D125 - MIN(D:D)) / (MAX(D:D) - MIN(D:D)))</f>
        <v>0.70500000000000007</v>
      </c>
      <c r="G125" s="3">
        <f>0.5 *E125+0.5*F125</f>
        <v>0.56078471411901987</v>
      </c>
      <c r="H125" s="7">
        <v>20</v>
      </c>
      <c r="I125" s="7">
        <v>7</v>
      </c>
      <c r="J125" s="5">
        <f>I125/H125</f>
        <v>0.35</v>
      </c>
    </row>
    <row r="126" spans="1:10" x14ac:dyDescent="0.3">
      <c r="A126" s="1" t="s">
        <v>20</v>
      </c>
      <c r="B126" s="1" t="s">
        <v>23</v>
      </c>
      <c r="C126" s="3">
        <v>5</v>
      </c>
      <c r="D126" s="3">
        <v>0.161</v>
      </c>
      <c r="E126" s="3">
        <f>(C126 - MIN(C:C)) / (MAX(C:C) - MIN(C:C))</f>
        <v>0.29171528588098017</v>
      </c>
      <c r="F126" s="3">
        <f>1 - ((D126 - MIN(D:D)) / (MAX(D:D) - MIN(D:D)))</f>
        <v>0.83499999999999996</v>
      </c>
      <c r="G126" s="3">
        <f>0.5 *E126+0.5*F126</f>
        <v>0.56335764294049007</v>
      </c>
      <c r="H126" s="7">
        <v>15</v>
      </c>
      <c r="I126" s="7">
        <v>7</v>
      </c>
      <c r="J126" s="5">
        <f>I126/H126</f>
        <v>0.46666666666666667</v>
      </c>
    </row>
    <row r="127" spans="1:10" x14ac:dyDescent="0.3">
      <c r="A127" s="1" t="s">
        <v>20</v>
      </c>
      <c r="B127" s="1" t="s">
        <v>23</v>
      </c>
      <c r="C127" s="3">
        <v>3.75</v>
      </c>
      <c r="D127" s="3">
        <v>0.128</v>
      </c>
      <c r="E127" s="3">
        <f>(C127 - MIN(C:C)) / (MAX(C:C) - MIN(C:C))</f>
        <v>0.14585764294049008</v>
      </c>
      <c r="F127" s="3">
        <f>1 - ((D127 - MIN(D:D)) / (MAX(D:D) - MIN(D:D)))</f>
        <v>1</v>
      </c>
      <c r="G127" s="3">
        <f>0.5 *E127+0.5*F127</f>
        <v>0.57292882147024504</v>
      </c>
      <c r="H127" s="7">
        <v>14</v>
      </c>
      <c r="I127" s="7">
        <v>9</v>
      </c>
      <c r="J127" s="5">
        <f>I127/H127</f>
        <v>0.6428571428571429</v>
      </c>
    </row>
    <row r="128" spans="1:10" x14ac:dyDescent="0.3">
      <c r="A128" s="1" t="s">
        <v>20</v>
      </c>
      <c r="B128" s="1" t="s">
        <v>23</v>
      </c>
      <c r="C128" s="3">
        <v>7.5</v>
      </c>
      <c r="D128" s="3">
        <v>0.20200000000000001</v>
      </c>
      <c r="E128" s="3">
        <f>(C128 - MIN(C:C)) / (MAX(C:C) - MIN(C:C))</f>
        <v>0.58343057176196034</v>
      </c>
      <c r="F128" s="3">
        <f>1 - ((D128 - MIN(D:D)) / (MAX(D:D) - MIN(D:D)))</f>
        <v>0.62999999999999989</v>
      </c>
      <c r="G128" s="3">
        <f>0.5 *E128+0.5*F128</f>
        <v>0.60671528588098012</v>
      </c>
      <c r="H128" s="7">
        <v>14</v>
      </c>
      <c r="I128" s="7">
        <v>9</v>
      </c>
      <c r="J128" s="5">
        <f>I128/H128</f>
        <v>0.6428571428571429</v>
      </c>
    </row>
    <row r="129" spans="1:10" x14ac:dyDescent="0.3">
      <c r="A129" s="1" t="s">
        <v>20</v>
      </c>
      <c r="B129" s="1" t="s">
        <v>23</v>
      </c>
      <c r="C129" s="3">
        <v>9.17</v>
      </c>
      <c r="D129" s="3">
        <v>0.23799999999999999</v>
      </c>
      <c r="E129" s="3">
        <f>(C129 - MIN(C:C)) / (MAX(C:C) - MIN(C:C))</f>
        <v>0.77829638273045509</v>
      </c>
      <c r="F129" s="3">
        <f>1 - ((D129 - MIN(D:D)) / (MAX(D:D) - MIN(D:D)))</f>
        <v>0.45000000000000007</v>
      </c>
      <c r="G129" s="3">
        <f>0.5 *E129+0.5*F129</f>
        <v>0.61414819136522758</v>
      </c>
      <c r="H129" s="7">
        <v>5</v>
      </c>
      <c r="I129" s="7">
        <v>3</v>
      </c>
      <c r="J129" s="5">
        <f>I129/H129</f>
        <v>0.6</v>
      </c>
    </row>
    <row r="130" spans="1:10" x14ac:dyDescent="0.3">
      <c r="A130" s="1" t="s">
        <v>13</v>
      </c>
      <c r="B130" s="1" t="s">
        <v>49</v>
      </c>
      <c r="C130" s="3">
        <v>5.5</v>
      </c>
      <c r="D130" s="3">
        <v>0.14799999999999999</v>
      </c>
      <c r="E130" s="3">
        <f>(C130 - MIN(C:C)) / (MAX(C:C) - MIN(C:C))</f>
        <v>0.3500583430571762</v>
      </c>
      <c r="F130" s="3">
        <f>1 - ((D130 - MIN(D:D)) / (MAX(D:D) - MIN(D:D)))</f>
        <v>0.9</v>
      </c>
      <c r="G130" s="3">
        <f>0.5 *E130+0.5*F130</f>
        <v>0.62502917152858806</v>
      </c>
      <c r="H130" s="7">
        <v>13</v>
      </c>
      <c r="I130" s="7">
        <v>5</v>
      </c>
      <c r="J130" s="5">
        <f>I130/H130</f>
        <v>0.38461538461538464</v>
      </c>
    </row>
    <row r="131" spans="1:10" x14ac:dyDescent="0.3">
      <c r="A131" s="1" t="s">
        <v>20</v>
      </c>
      <c r="B131" s="1" t="s">
        <v>23</v>
      </c>
      <c r="C131" s="3">
        <v>8.5</v>
      </c>
      <c r="D131" s="3">
        <v>0.20899999999999999</v>
      </c>
      <c r="E131" s="3">
        <f>(C131 - MIN(C:C)) / (MAX(C:C) - MIN(C:C))</f>
        <v>0.7001166861143524</v>
      </c>
      <c r="F131" s="3">
        <f>1 - ((D131 - MIN(D:D)) / (MAX(D:D) - MIN(D:D)))</f>
        <v>0.59500000000000008</v>
      </c>
      <c r="G131" s="3">
        <f>0.5 *E131+0.5*F131</f>
        <v>0.6475583430571763</v>
      </c>
      <c r="H131" s="7">
        <v>17</v>
      </c>
      <c r="I131" s="7">
        <v>8</v>
      </c>
      <c r="J131" s="5">
        <f>I131/H131</f>
        <v>0.47058823529411764</v>
      </c>
    </row>
    <row r="132" spans="1:10" x14ac:dyDescent="0.3">
      <c r="A132" s="1" t="s">
        <v>28</v>
      </c>
      <c r="B132" s="1" t="s">
        <v>51</v>
      </c>
      <c r="C132" s="3">
        <v>9.17</v>
      </c>
      <c r="D132" s="3">
        <v>0.219</v>
      </c>
      <c r="E132" s="3">
        <f>(C132 - MIN(C:C)) / (MAX(C:C) - MIN(C:C))</f>
        <v>0.77829638273045509</v>
      </c>
      <c r="F132" s="3">
        <f>1 - ((D132 - MIN(D:D)) / (MAX(D:D) - MIN(D:D)))</f>
        <v>0.54500000000000004</v>
      </c>
      <c r="G132" s="3">
        <f>0.5 *E132+0.5*F132</f>
        <v>0.66164819136522757</v>
      </c>
      <c r="H132" s="7">
        <v>14</v>
      </c>
      <c r="I132" s="7">
        <v>6</v>
      </c>
      <c r="J132" s="5">
        <f>I132/H132</f>
        <v>0.42857142857142855</v>
      </c>
    </row>
    <row r="133" spans="1:10" x14ac:dyDescent="0.3">
      <c r="A133" s="1" t="s">
        <v>42</v>
      </c>
      <c r="B133" s="1" t="s">
        <v>23</v>
      </c>
      <c r="C133" s="3">
        <v>8.61</v>
      </c>
      <c r="D133" s="3">
        <v>0.20100000000000001</v>
      </c>
      <c r="E133" s="3">
        <f>(C133 - MIN(C:C)) / (MAX(C:C) - MIN(C:C))</f>
        <v>0.71295215869311546</v>
      </c>
      <c r="F133" s="3">
        <f>1 - ((D133 - MIN(D:D)) / (MAX(D:D) - MIN(D:D)))</f>
        <v>0.63500000000000001</v>
      </c>
      <c r="G133" s="3">
        <f>0.5 *E133+0.5*F133</f>
        <v>0.67397607934655768</v>
      </c>
      <c r="H133" s="7">
        <v>12</v>
      </c>
      <c r="I133" s="7">
        <v>9</v>
      </c>
      <c r="J133" s="5">
        <f>I133/H133</f>
        <v>0.75</v>
      </c>
    </row>
    <row r="134" spans="1:10" x14ac:dyDescent="0.3">
      <c r="A134" s="1" t="s">
        <v>20</v>
      </c>
      <c r="B134" s="1" t="s">
        <v>23</v>
      </c>
      <c r="C134" s="3">
        <v>11.07</v>
      </c>
      <c r="D134" s="3">
        <v>0.16200000000000001</v>
      </c>
      <c r="E134" s="3">
        <f>(C134 - MIN(C:C)) / (MAX(C:C) - MIN(C:C))</f>
        <v>1</v>
      </c>
      <c r="F134" s="3">
        <f>1 - ((D134 - MIN(D:D)) / (MAX(D:D) - MIN(D:D)))</f>
        <v>0.83</v>
      </c>
      <c r="G134" s="3">
        <f>0.5 *E134+0.5*F134</f>
        <v>0.91500000000000004</v>
      </c>
      <c r="H134" s="7">
        <v>10</v>
      </c>
      <c r="I134" s="7">
        <v>7</v>
      </c>
      <c r="J134" s="5">
        <f>I134/H134</f>
        <v>0.7</v>
      </c>
    </row>
  </sheetData>
  <sortState xmlns:xlrd2="http://schemas.microsoft.com/office/spreadsheetml/2017/richdata2" ref="A2:J134">
    <sortCondition ref="G11:G134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arts_course_results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2025-03-25T23:59:43Z</dcterms:created>
  <dcterms:modified xsi:type="dcterms:W3CDTF">2025-03-26T01:30:41Z</dcterms:modified>
</cp:coreProperties>
</file>
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5"/>
  <workbookPr refreshAllConnections="1" defaultThemeVersion="202300"/>
  <mc:AlternateContent xmlns:mc="http://schemas.openxmlformats.org/markup-compatibility/2006">
    <mc:Choice Requires="x15">
      <x15ac:absPath xmlns:x15ac="http://schemas.microsoft.com/office/spreadsheetml/2010/11/ac" url="/Users/savannaleung/Downloads/Maroon/data/course eval piece/"/>
    </mc:Choice>
  </mc:AlternateContent>
  <xr:revisionPtr revIDLastSave="0" documentId="8_{ED43ADC8-489B-2244-8545-0A04CA13A045}" xr6:coauthVersionLast="47" xr6:coauthVersionMax="47" xr10:uidLastSave="{00000000-0000-0000-0000-000000000000}"/>
  <bookViews>
    <workbookView xWindow="1060" yWindow="740" windowWidth="28340" windowHeight="16760" activeTab="1" xr2:uid="{06B9D965-3C44-D64D-A5FE-03BDDE2AB511}"/>
  </bookViews>
  <sheets>
    <sheet name="aggregate" sheetId="10" r:id="rId1"/>
    <sheet name="by sequence" sheetId="11" r:id="rId2"/>
    <sheet name="hum_course_results" sheetId="1" r:id="rId3"/>
  </sheets>
  <calcPr calcId="191029"/>
  <pivotCaches>
    <pivotCache cacheId="54" r:id="rId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19" i="1" l="1"/>
  <c r="H219" i="1"/>
  <c r="J97" i="1"/>
  <c r="J89" i="1"/>
  <c r="J24" i="1"/>
  <c r="J26" i="1"/>
  <c r="J41" i="1"/>
  <c r="J78" i="1"/>
  <c r="J90" i="1"/>
  <c r="J186" i="1"/>
  <c r="J99" i="1"/>
  <c r="J150" i="1"/>
  <c r="J201" i="1"/>
  <c r="J187" i="1"/>
  <c r="J158" i="1"/>
  <c r="J73" i="1"/>
  <c r="J39" i="1"/>
  <c r="J146" i="1"/>
  <c r="J118" i="1"/>
  <c r="J70" i="1"/>
  <c r="J132" i="1"/>
  <c r="J21" i="1"/>
  <c r="J20" i="1"/>
  <c r="J122" i="1"/>
  <c r="J44" i="1"/>
  <c r="J199" i="1"/>
  <c r="J214" i="1"/>
  <c r="J34" i="1"/>
  <c r="J81" i="1"/>
  <c r="J5" i="1"/>
  <c r="J216" i="1"/>
  <c r="J185" i="1"/>
  <c r="J30" i="1"/>
  <c r="J205" i="1"/>
  <c r="J179" i="1"/>
  <c r="J86" i="1"/>
  <c r="J209" i="1"/>
  <c r="J110" i="1"/>
  <c r="J121" i="1"/>
  <c r="J9" i="1"/>
  <c r="J85" i="1"/>
  <c r="J177" i="1"/>
  <c r="J74" i="1"/>
  <c r="J155" i="1"/>
  <c r="J190" i="1"/>
  <c r="J147" i="1"/>
  <c r="J162" i="1"/>
  <c r="J2" i="1"/>
  <c r="J153" i="1"/>
  <c r="J195" i="1"/>
  <c r="J111" i="1"/>
  <c r="J191" i="1"/>
  <c r="J142" i="1"/>
  <c r="J31" i="1"/>
  <c r="J218" i="1"/>
  <c r="J140" i="1"/>
  <c r="J166" i="1"/>
  <c r="J169" i="1"/>
  <c r="J100" i="1"/>
  <c r="J157" i="1"/>
  <c r="J40" i="1"/>
  <c r="J176" i="1"/>
  <c r="J38" i="1"/>
  <c r="J79" i="1"/>
  <c r="J165" i="1"/>
  <c r="J84" i="1"/>
  <c r="J50" i="1"/>
  <c r="J18" i="1"/>
  <c r="J196" i="1"/>
  <c r="J124" i="1"/>
  <c r="J7" i="1"/>
  <c r="J66" i="1"/>
  <c r="J75" i="1"/>
  <c r="J107" i="1"/>
  <c r="J149" i="1"/>
  <c r="J125" i="1"/>
  <c r="J113" i="1"/>
  <c r="J117" i="1"/>
  <c r="J213" i="1"/>
  <c r="J161" i="1"/>
  <c r="J156" i="1"/>
  <c r="J36" i="1"/>
  <c r="J144" i="1"/>
  <c r="J51" i="1"/>
  <c r="J53" i="1"/>
  <c r="J12" i="1"/>
  <c r="J43" i="1"/>
  <c r="J163" i="1"/>
  <c r="J189" i="1"/>
  <c r="J172" i="1"/>
  <c r="J204" i="1"/>
  <c r="J10" i="1"/>
  <c r="J200" i="1"/>
  <c r="J76" i="1"/>
  <c r="J112" i="1"/>
  <c r="J182" i="1"/>
  <c r="J8" i="1"/>
  <c r="J77" i="1"/>
  <c r="J27" i="1"/>
  <c r="J58" i="1"/>
  <c r="J210" i="1"/>
  <c r="J54" i="1"/>
  <c r="J134" i="1"/>
  <c r="J115" i="1"/>
  <c r="J135" i="1"/>
  <c r="J145" i="1"/>
  <c r="J47" i="1"/>
  <c r="J126" i="1"/>
  <c r="J180" i="1"/>
  <c r="J164" i="1"/>
  <c r="J60" i="1"/>
  <c r="J98" i="1"/>
  <c r="J61" i="1"/>
  <c r="J194" i="1"/>
  <c r="J198" i="1"/>
  <c r="J202" i="1"/>
  <c r="J6" i="1"/>
  <c r="J35" i="1"/>
  <c r="J65" i="1"/>
  <c r="J16" i="1"/>
  <c r="J119" i="1"/>
  <c r="J87" i="1"/>
  <c r="J32" i="1"/>
  <c r="J129" i="1"/>
  <c r="J68" i="1"/>
  <c r="J152" i="1"/>
  <c r="J88" i="1"/>
  <c r="J101" i="1"/>
  <c r="J56" i="1"/>
  <c r="J14" i="1"/>
  <c r="J175" i="1"/>
  <c r="J123" i="1"/>
  <c r="J11" i="1"/>
  <c r="J102" i="1"/>
  <c r="J59" i="1"/>
  <c r="J3" i="1"/>
  <c r="J64" i="1"/>
  <c r="J193" i="1"/>
  <c r="J80" i="1"/>
  <c r="J212" i="1"/>
  <c r="J167" i="1"/>
  <c r="J130" i="1"/>
  <c r="J45" i="1"/>
  <c r="J29" i="1"/>
  <c r="J184" i="1"/>
  <c r="J192" i="1"/>
  <c r="J120" i="1"/>
  <c r="J171" i="1"/>
  <c r="J116" i="1"/>
  <c r="J17" i="1"/>
  <c r="J28" i="1"/>
  <c r="J46" i="1"/>
  <c r="J67" i="1"/>
  <c r="J25" i="1"/>
  <c r="J143" i="1"/>
  <c r="J63" i="1"/>
  <c r="J170" i="1"/>
  <c r="J92" i="1"/>
  <c r="J15" i="1"/>
  <c r="J207" i="1"/>
  <c r="J104" i="1"/>
  <c r="J62" i="1"/>
  <c r="J22" i="1"/>
  <c r="J133" i="1"/>
  <c r="J159" i="1"/>
  <c r="J154" i="1"/>
  <c r="J138" i="1"/>
  <c r="J71" i="1"/>
  <c r="J82" i="1"/>
  <c r="J91" i="1"/>
  <c r="J139" i="1"/>
  <c r="J127" i="1"/>
  <c r="J168" i="1"/>
  <c r="J181" i="1"/>
  <c r="J128" i="1"/>
  <c r="J173" i="1"/>
  <c r="J48" i="1"/>
  <c r="J211" i="1"/>
  <c r="J83" i="1"/>
  <c r="J217" i="1"/>
  <c r="J183" i="1"/>
  <c r="J95" i="1"/>
  <c r="J19" i="1"/>
  <c r="J33" i="1"/>
  <c r="J108" i="1"/>
  <c r="J206" i="1"/>
  <c r="J105" i="1"/>
  <c r="J215" i="1"/>
  <c r="J188" i="1"/>
  <c r="J23" i="1"/>
  <c r="J160" i="1"/>
  <c r="J94" i="1"/>
  <c r="J137" i="1"/>
  <c r="J203" i="1"/>
  <c r="J57" i="1"/>
  <c r="J208" i="1"/>
  <c r="J136" i="1"/>
  <c r="J37" i="1"/>
  <c r="J151" i="1"/>
  <c r="J49" i="1"/>
  <c r="J55" i="1"/>
  <c r="J42" i="1"/>
  <c r="J148" i="1"/>
  <c r="J106" i="1"/>
  <c r="J103" i="1"/>
  <c r="J197" i="1"/>
  <c r="J131" i="1"/>
  <c r="J72" i="1"/>
  <c r="J178" i="1"/>
  <c r="J13" i="1"/>
  <c r="J96" i="1"/>
  <c r="J69" i="1"/>
  <c r="J141" i="1"/>
  <c r="J52" i="1"/>
  <c r="J114" i="1"/>
  <c r="J109" i="1"/>
  <c r="J93" i="1"/>
  <c r="J174" i="1"/>
  <c r="J4" i="1"/>
  <c r="F143" i="1"/>
  <c r="F63" i="1"/>
  <c r="F170" i="1"/>
  <c r="F92" i="1"/>
  <c r="F15" i="1"/>
  <c r="F207" i="1"/>
  <c r="F104" i="1"/>
  <c r="F62" i="1"/>
  <c r="F22" i="1"/>
  <c r="F133" i="1"/>
  <c r="F159" i="1"/>
  <c r="F154" i="1"/>
  <c r="F138" i="1"/>
  <c r="F71" i="1"/>
  <c r="F82" i="1"/>
  <c r="F91" i="1"/>
  <c r="F139" i="1"/>
  <c r="F127" i="1"/>
  <c r="F168" i="1"/>
  <c r="F181" i="1"/>
  <c r="F128" i="1"/>
  <c r="F173" i="1"/>
  <c r="F48" i="1"/>
  <c r="F211" i="1"/>
  <c r="F83" i="1"/>
  <c r="F217" i="1"/>
  <c r="F183" i="1"/>
  <c r="F95" i="1"/>
  <c r="F19" i="1"/>
  <c r="F33" i="1"/>
  <c r="F108" i="1"/>
  <c r="F206" i="1"/>
  <c r="F105" i="1"/>
  <c r="F215" i="1"/>
  <c r="F188" i="1"/>
  <c r="F23" i="1"/>
  <c r="F160" i="1"/>
  <c r="F94" i="1"/>
  <c r="F137" i="1"/>
  <c r="F203" i="1"/>
  <c r="F57" i="1"/>
  <c r="F208" i="1"/>
  <c r="F136" i="1"/>
  <c r="F37" i="1"/>
  <c r="F151" i="1"/>
  <c r="F49" i="1"/>
  <c r="F97" i="1"/>
  <c r="F89" i="1"/>
  <c r="F24" i="1"/>
  <c r="F26" i="1"/>
  <c r="F41" i="1"/>
  <c r="F78" i="1"/>
  <c r="F90" i="1"/>
  <c r="F186" i="1"/>
  <c r="F99" i="1"/>
  <c r="F150" i="1"/>
  <c r="F77" i="1"/>
  <c r="F27" i="1"/>
  <c r="F58" i="1"/>
  <c r="F210" i="1"/>
  <c r="F54" i="1"/>
  <c r="F134" i="1"/>
  <c r="F115" i="1"/>
  <c r="F135" i="1"/>
  <c r="F145" i="1"/>
  <c r="F47" i="1"/>
  <c r="F126" i="1"/>
  <c r="F180" i="1"/>
  <c r="F164" i="1"/>
  <c r="F60" i="1"/>
  <c r="F98" i="1"/>
  <c r="F61" i="1"/>
  <c r="F194" i="1"/>
  <c r="F198" i="1"/>
  <c r="F202" i="1"/>
  <c r="F6" i="1"/>
  <c r="F35" i="1"/>
  <c r="F65" i="1"/>
  <c r="F16" i="1"/>
  <c r="F119" i="1"/>
  <c r="F87" i="1"/>
  <c r="F32" i="1"/>
  <c r="F129" i="1"/>
  <c r="F68" i="1"/>
  <c r="F152" i="1"/>
  <c r="F88" i="1"/>
  <c r="F101" i="1"/>
  <c r="F56" i="1"/>
  <c r="F14" i="1"/>
  <c r="F175" i="1"/>
  <c r="F123" i="1"/>
  <c r="F11" i="1"/>
  <c r="F102" i="1"/>
  <c r="F59" i="1"/>
  <c r="F3" i="1"/>
  <c r="F64" i="1"/>
  <c r="F193" i="1"/>
  <c r="F80" i="1"/>
  <c r="F212" i="1"/>
  <c r="F167" i="1"/>
  <c r="F130" i="1"/>
  <c r="F45" i="1"/>
  <c r="F29" i="1"/>
  <c r="F184" i="1"/>
  <c r="F192" i="1"/>
  <c r="F120" i="1"/>
  <c r="F171" i="1"/>
  <c r="F116" i="1"/>
  <c r="F17" i="1"/>
  <c r="F28" i="1"/>
  <c r="F46" i="1"/>
  <c r="F67" i="1"/>
  <c r="F25" i="1"/>
  <c r="F18" i="1"/>
  <c r="F196" i="1"/>
  <c r="F124" i="1"/>
  <c r="F7" i="1"/>
  <c r="F66" i="1"/>
  <c r="F75" i="1"/>
  <c r="F107" i="1"/>
  <c r="F149" i="1"/>
  <c r="F125" i="1"/>
  <c r="F113" i="1"/>
  <c r="F117" i="1"/>
  <c r="F213" i="1"/>
  <c r="F161" i="1"/>
  <c r="F156" i="1"/>
  <c r="F36" i="1"/>
  <c r="F144" i="1"/>
  <c r="F51" i="1"/>
  <c r="F53" i="1"/>
  <c r="F12" i="1"/>
  <c r="F43" i="1"/>
  <c r="F163" i="1"/>
  <c r="F189" i="1"/>
  <c r="F172" i="1"/>
  <c r="F204" i="1"/>
  <c r="F10" i="1"/>
  <c r="F200" i="1"/>
  <c r="F76" i="1"/>
  <c r="F112" i="1"/>
  <c r="F182" i="1"/>
  <c r="F8" i="1"/>
  <c r="F39" i="1"/>
  <c r="F146" i="1"/>
  <c r="F118" i="1"/>
  <c r="F70" i="1"/>
  <c r="F132" i="1"/>
  <c r="F21" i="1"/>
  <c r="F20" i="1"/>
  <c r="F122" i="1"/>
  <c r="F44" i="1"/>
  <c r="F199" i="1"/>
  <c r="F214" i="1"/>
  <c r="F34" i="1"/>
  <c r="F81" i="1"/>
  <c r="F5" i="1"/>
  <c r="F216" i="1"/>
  <c r="F185" i="1"/>
  <c r="F30" i="1"/>
  <c r="F205" i="1"/>
  <c r="F179" i="1"/>
  <c r="F86" i="1"/>
  <c r="F209" i="1"/>
  <c r="F110" i="1"/>
  <c r="F121" i="1"/>
  <c r="F9" i="1"/>
  <c r="F85" i="1"/>
  <c r="F177" i="1"/>
  <c r="F74" i="1"/>
  <c r="F155" i="1"/>
  <c r="F190" i="1"/>
  <c r="F147" i="1"/>
  <c r="F162" i="1"/>
  <c r="F2" i="1"/>
  <c r="F153" i="1"/>
  <c r="F195" i="1"/>
  <c r="F111" i="1"/>
  <c r="F191" i="1"/>
  <c r="F142" i="1"/>
  <c r="F31" i="1"/>
  <c r="F218" i="1"/>
  <c r="F140" i="1"/>
  <c r="F166" i="1"/>
  <c r="F169" i="1"/>
  <c r="F100" i="1"/>
  <c r="F157" i="1"/>
  <c r="F40" i="1"/>
  <c r="F176" i="1"/>
  <c r="F38" i="1"/>
  <c r="F79" i="1"/>
  <c r="F165" i="1"/>
  <c r="F84" i="1"/>
  <c r="F50" i="1"/>
  <c r="F55" i="1"/>
  <c r="F42" i="1"/>
  <c r="F148" i="1"/>
  <c r="F106" i="1"/>
  <c r="F103" i="1"/>
  <c r="F197" i="1"/>
  <c r="F131" i="1"/>
  <c r="F72" i="1"/>
  <c r="F178" i="1"/>
  <c r="F13" i="1"/>
  <c r="F96" i="1"/>
  <c r="F69" i="1"/>
  <c r="F141" i="1"/>
  <c r="F52" i="1"/>
  <c r="F114" i="1"/>
  <c r="F109" i="1"/>
  <c r="F93" i="1"/>
  <c r="F174" i="1"/>
  <c r="F201" i="1"/>
  <c r="F187" i="1"/>
  <c r="F158" i="1"/>
  <c r="F73" i="1"/>
  <c r="E80" i="1"/>
  <c r="F4" i="1"/>
  <c r="E89" i="1"/>
  <c r="E26" i="1"/>
  <c r="G26" i="1" s="1"/>
  <c r="E204" i="1"/>
  <c r="E172" i="1"/>
  <c r="E189" i="1"/>
  <c r="E136" i="1"/>
  <c r="E37" i="1"/>
  <c r="E151" i="1"/>
  <c r="E49" i="1"/>
  <c r="E97" i="1"/>
  <c r="G97" i="1" s="1"/>
  <c r="E24" i="1"/>
  <c r="E41" i="1"/>
  <c r="E78" i="1"/>
  <c r="E90" i="1"/>
  <c r="E186" i="1"/>
  <c r="E99" i="1"/>
  <c r="G99" i="1" s="1"/>
  <c r="E150" i="1"/>
  <c r="E61" i="1"/>
  <c r="E194" i="1"/>
  <c r="E198" i="1"/>
  <c r="E202" i="1"/>
  <c r="E6" i="1"/>
  <c r="E35" i="1"/>
  <c r="E65" i="1"/>
  <c r="G65" i="1" s="1"/>
  <c r="E16" i="1"/>
  <c r="G16" i="1" s="1"/>
  <c r="E119" i="1"/>
  <c r="E87" i="1"/>
  <c r="E32" i="1"/>
  <c r="E129" i="1"/>
  <c r="E68" i="1"/>
  <c r="E152" i="1"/>
  <c r="E88" i="1"/>
  <c r="G88" i="1" s="1"/>
  <c r="E101" i="1"/>
  <c r="G101" i="1" s="1"/>
  <c r="E56" i="1"/>
  <c r="E14" i="1"/>
  <c r="E175" i="1"/>
  <c r="E123" i="1"/>
  <c r="E11" i="1"/>
  <c r="E102" i="1"/>
  <c r="E59" i="1"/>
  <c r="E3" i="1"/>
  <c r="G3" i="1" s="1"/>
  <c r="E64" i="1"/>
  <c r="E193" i="1"/>
  <c r="E212" i="1"/>
  <c r="E167" i="1"/>
  <c r="E130" i="1"/>
  <c r="E45" i="1"/>
  <c r="E29" i="1"/>
  <c r="G29" i="1" s="1"/>
  <c r="E184" i="1"/>
  <c r="E192" i="1"/>
  <c r="G192" i="1" s="1"/>
  <c r="E120" i="1"/>
  <c r="G120" i="1" s="1"/>
  <c r="E171" i="1"/>
  <c r="E116" i="1"/>
  <c r="E17" i="1"/>
  <c r="E28" i="1"/>
  <c r="E46" i="1"/>
  <c r="G46" i="1" s="1"/>
  <c r="E67" i="1"/>
  <c r="E25" i="1"/>
  <c r="G25" i="1" s="1"/>
  <c r="E143" i="1"/>
  <c r="G143" i="1" s="1"/>
  <c r="E63" i="1"/>
  <c r="E170" i="1"/>
  <c r="E92" i="1"/>
  <c r="E15" i="1"/>
  <c r="E207" i="1"/>
  <c r="G207" i="1" s="1"/>
  <c r="E104" i="1"/>
  <c r="G104" i="1" s="1"/>
  <c r="E62" i="1"/>
  <c r="E22" i="1"/>
  <c r="G22" i="1" s="1"/>
  <c r="E133" i="1"/>
  <c r="E159" i="1"/>
  <c r="E154" i="1"/>
  <c r="E138" i="1"/>
  <c r="E71" i="1"/>
  <c r="G71" i="1" s="1"/>
  <c r="E82" i="1"/>
  <c r="G82" i="1" s="1"/>
  <c r="E91" i="1"/>
  <c r="E139" i="1"/>
  <c r="G139" i="1" s="1"/>
  <c r="E127" i="1"/>
  <c r="E168" i="1"/>
  <c r="E181" i="1"/>
  <c r="E128" i="1"/>
  <c r="E173" i="1"/>
  <c r="G173" i="1" s="1"/>
  <c r="E48" i="1"/>
  <c r="G48" i="1" s="1"/>
  <c r="E211" i="1"/>
  <c r="E83" i="1"/>
  <c r="G83" i="1" s="1"/>
  <c r="E217" i="1"/>
  <c r="E183" i="1"/>
  <c r="E95" i="1"/>
  <c r="E19" i="1"/>
  <c r="E33" i="1"/>
  <c r="G33" i="1" s="1"/>
  <c r="E108" i="1"/>
  <c r="G108" i="1" s="1"/>
  <c r="E206" i="1"/>
  <c r="E105" i="1"/>
  <c r="G105" i="1" s="1"/>
  <c r="E215" i="1"/>
  <c r="E188" i="1"/>
  <c r="E23" i="1"/>
  <c r="E160" i="1"/>
  <c r="E94" i="1"/>
  <c r="G94" i="1" s="1"/>
  <c r="E137" i="1"/>
  <c r="G137" i="1" s="1"/>
  <c r="E203" i="1"/>
  <c r="E57" i="1"/>
  <c r="G57" i="1" s="1"/>
  <c r="E208" i="1"/>
  <c r="E179" i="1"/>
  <c r="E86" i="1"/>
  <c r="E209" i="1"/>
  <c r="E110" i="1"/>
  <c r="E121" i="1"/>
  <c r="E9" i="1"/>
  <c r="G9" i="1" s="1"/>
  <c r="E85" i="1"/>
  <c r="E177" i="1"/>
  <c r="E74" i="1"/>
  <c r="E155" i="1"/>
  <c r="E190" i="1"/>
  <c r="E147" i="1"/>
  <c r="E162" i="1"/>
  <c r="E2" i="1"/>
  <c r="G2" i="1" s="1"/>
  <c r="E153" i="1"/>
  <c r="E195" i="1"/>
  <c r="E111" i="1"/>
  <c r="E191" i="1"/>
  <c r="E142" i="1"/>
  <c r="E31" i="1"/>
  <c r="E218" i="1"/>
  <c r="E140" i="1"/>
  <c r="G140" i="1" s="1"/>
  <c r="E166" i="1"/>
  <c r="E169" i="1"/>
  <c r="E100" i="1"/>
  <c r="E157" i="1"/>
  <c r="E40" i="1"/>
  <c r="E176" i="1"/>
  <c r="E38" i="1"/>
  <c r="E79" i="1"/>
  <c r="G79" i="1" s="1"/>
  <c r="E165" i="1"/>
  <c r="E84" i="1"/>
  <c r="E50" i="1"/>
  <c r="E18" i="1"/>
  <c r="E196" i="1"/>
  <c r="E124" i="1"/>
  <c r="E7" i="1"/>
  <c r="E66" i="1"/>
  <c r="G66" i="1" s="1"/>
  <c r="E75" i="1"/>
  <c r="G75" i="1" s="1"/>
  <c r="E107" i="1"/>
  <c r="E149" i="1"/>
  <c r="E125" i="1"/>
  <c r="E113" i="1"/>
  <c r="E117" i="1"/>
  <c r="E213" i="1"/>
  <c r="E161" i="1"/>
  <c r="G161" i="1" s="1"/>
  <c r="E156" i="1"/>
  <c r="G156" i="1" s="1"/>
  <c r="E36" i="1"/>
  <c r="E144" i="1"/>
  <c r="E51" i="1"/>
  <c r="E53" i="1"/>
  <c r="E12" i="1"/>
  <c r="E43" i="1"/>
  <c r="E163" i="1"/>
  <c r="G163" i="1" s="1"/>
  <c r="E10" i="1"/>
  <c r="G10" i="1" s="1"/>
  <c r="E200" i="1"/>
  <c r="E76" i="1"/>
  <c r="E112" i="1"/>
  <c r="E182" i="1"/>
  <c r="E8" i="1"/>
  <c r="G8" i="1" s="1"/>
  <c r="E77" i="1"/>
  <c r="E27" i="1"/>
  <c r="G27" i="1" s="1"/>
  <c r="E58" i="1"/>
  <c r="G58" i="1" s="1"/>
  <c r="E210" i="1"/>
  <c r="E54" i="1"/>
  <c r="E134" i="1"/>
  <c r="E115" i="1"/>
  <c r="G115" i="1" s="1"/>
  <c r="E135" i="1"/>
  <c r="E145" i="1"/>
  <c r="G145" i="1" s="1"/>
  <c r="E47" i="1"/>
  <c r="G47" i="1" s="1"/>
  <c r="E126" i="1"/>
  <c r="G126" i="1" s="1"/>
  <c r="E180" i="1"/>
  <c r="E164" i="1"/>
  <c r="E60" i="1"/>
  <c r="E98" i="1"/>
  <c r="G98" i="1" s="1"/>
  <c r="E158" i="1"/>
  <c r="G158" i="1" s="1"/>
  <c r="E73" i="1"/>
  <c r="E39" i="1"/>
  <c r="E146" i="1"/>
  <c r="E118" i="1"/>
  <c r="E70" i="1"/>
  <c r="E132" i="1"/>
  <c r="E21" i="1"/>
  <c r="E20" i="1"/>
  <c r="E122" i="1"/>
  <c r="G122" i="1" s="1"/>
  <c r="E44" i="1"/>
  <c r="E199" i="1"/>
  <c r="E214" i="1"/>
  <c r="E34" i="1"/>
  <c r="E81" i="1"/>
  <c r="E5" i="1"/>
  <c r="E216" i="1"/>
  <c r="E185" i="1"/>
  <c r="G185" i="1" s="1"/>
  <c r="E30" i="1"/>
  <c r="E205" i="1"/>
  <c r="E55" i="1"/>
  <c r="E42" i="1"/>
  <c r="E148" i="1"/>
  <c r="E106" i="1"/>
  <c r="E103" i="1"/>
  <c r="G103" i="1" s="1"/>
  <c r="E197" i="1"/>
  <c r="E131" i="1"/>
  <c r="E72" i="1"/>
  <c r="G72" i="1" s="1"/>
  <c r="E178" i="1"/>
  <c r="E13" i="1"/>
  <c r="E96" i="1"/>
  <c r="E69" i="1"/>
  <c r="E141" i="1"/>
  <c r="G141" i="1" s="1"/>
  <c r="E52" i="1"/>
  <c r="E114" i="1"/>
  <c r="E109" i="1"/>
  <c r="G109" i="1" s="1"/>
  <c r="E93" i="1"/>
  <c r="E174" i="1"/>
  <c r="E201" i="1"/>
  <c r="E187" i="1"/>
  <c r="E4" i="1"/>
  <c r="G205" i="1" l="1"/>
  <c r="G199" i="1"/>
  <c r="G146" i="1"/>
  <c r="G193" i="1"/>
  <c r="G14" i="1"/>
  <c r="G87" i="1"/>
  <c r="G194" i="1"/>
  <c r="G24" i="1"/>
  <c r="G204" i="1"/>
  <c r="G131" i="1"/>
  <c r="G114" i="1"/>
  <c r="G77" i="1"/>
  <c r="G4" i="1"/>
  <c r="G144" i="1"/>
  <c r="G149" i="1"/>
  <c r="G169" i="1"/>
  <c r="G195" i="1"/>
  <c r="G177" i="1"/>
  <c r="G18" i="1"/>
  <c r="G51" i="1"/>
  <c r="G125" i="1"/>
  <c r="G118" i="1"/>
  <c r="G208" i="1"/>
  <c r="G215" i="1"/>
  <c r="G217" i="1"/>
  <c r="G127" i="1"/>
  <c r="G133" i="1"/>
  <c r="G63" i="1"/>
  <c r="G53" i="1"/>
  <c r="G113" i="1"/>
  <c r="G196" i="1"/>
  <c r="G170" i="1"/>
  <c r="G188" i="1"/>
  <c r="G183" i="1"/>
  <c r="G168" i="1"/>
  <c r="G159" i="1"/>
  <c r="G36" i="1"/>
  <c r="G107" i="1"/>
  <c r="G84" i="1"/>
  <c r="G214" i="1"/>
  <c r="G124" i="1"/>
  <c r="G172" i="1"/>
  <c r="G12" i="1"/>
  <c r="G160" i="1"/>
  <c r="G19" i="1"/>
  <c r="G128" i="1"/>
  <c r="G37" i="1"/>
  <c r="G80" i="1"/>
  <c r="G117" i="1"/>
  <c r="G23" i="1"/>
  <c r="G95" i="1"/>
  <c r="G181" i="1"/>
  <c r="G154" i="1"/>
  <c r="G92" i="1"/>
  <c r="G11" i="1"/>
  <c r="G68" i="1"/>
  <c r="G6" i="1"/>
  <c r="G180" i="1"/>
  <c r="G210" i="1"/>
  <c r="G175" i="1"/>
  <c r="G32" i="1"/>
  <c r="G198" i="1"/>
  <c r="G43" i="1"/>
  <c r="G213" i="1"/>
  <c r="G7" i="1"/>
  <c r="G176" i="1"/>
  <c r="G31" i="1"/>
  <c r="G147" i="1"/>
  <c r="G110" i="1"/>
  <c r="G151" i="1"/>
  <c r="G21" i="1"/>
  <c r="G138" i="1"/>
  <c r="G15" i="1"/>
  <c r="G102" i="1"/>
  <c r="G152" i="1"/>
  <c r="G35" i="1"/>
  <c r="G90" i="1"/>
  <c r="G201" i="1"/>
  <c r="G148" i="1"/>
  <c r="G132" i="1"/>
  <c r="G130" i="1"/>
  <c r="G164" i="1"/>
  <c r="G54" i="1"/>
  <c r="G76" i="1"/>
  <c r="G74" i="1"/>
  <c r="G179" i="1"/>
  <c r="G78" i="1"/>
  <c r="G5" i="1"/>
  <c r="G96" i="1"/>
  <c r="G81" i="1"/>
  <c r="G112" i="1"/>
  <c r="G17" i="1"/>
  <c r="G40" i="1"/>
  <c r="G142" i="1"/>
  <c r="G190" i="1"/>
  <c r="G209" i="1"/>
  <c r="G42" i="1"/>
  <c r="G50" i="1"/>
  <c r="G100" i="1"/>
  <c r="G111" i="1"/>
  <c r="G116" i="1"/>
  <c r="G167" i="1"/>
  <c r="G38" i="1"/>
  <c r="G218" i="1"/>
  <c r="G162" i="1"/>
  <c r="G121" i="1"/>
  <c r="G49" i="1"/>
  <c r="G216" i="1"/>
  <c r="G187" i="1"/>
  <c r="G28" i="1"/>
  <c r="G60" i="1"/>
  <c r="G134" i="1"/>
  <c r="G157" i="1"/>
  <c r="G191" i="1"/>
  <c r="G155" i="1"/>
  <c r="G86" i="1"/>
  <c r="G136" i="1"/>
  <c r="G20" i="1"/>
  <c r="G59" i="1"/>
  <c r="G69" i="1"/>
  <c r="G182" i="1"/>
  <c r="G45" i="1"/>
  <c r="G186" i="1"/>
  <c r="G174" i="1"/>
  <c r="G13" i="1"/>
  <c r="G34" i="1"/>
  <c r="G70" i="1"/>
  <c r="G123" i="1"/>
  <c r="G129" i="1"/>
  <c r="G202" i="1"/>
  <c r="G189" i="1"/>
  <c r="G106" i="1"/>
  <c r="G93" i="1"/>
  <c r="G178" i="1"/>
  <c r="G55" i="1"/>
  <c r="G200" i="1"/>
  <c r="G171" i="1"/>
  <c r="G212" i="1"/>
  <c r="G41" i="1"/>
  <c r="G166" i="1"/>
  <c r="G206" i="1"/>
  <c r="G91" i="1"/>
  <c r="G64" i="1"/>
  <c r="G56" i="1"/>
  <c r="G119" i="1"/>
  <c r="G61" i="1"/>
  <c r="G153" i="1"/>
  <c r="G30" i="1"/>
  <c r="G203" i="1"/>
  <c r="G211" i="1"/>
  <c r="G62" i="1"/>
  <c r="G52" i="1"/>
  <c r="G197" i="1"/>
  <c r="G73" i="1"/>
  <c r="G67" i="1"/>
  <c r="G184" i="1"/>
  <c r="G150" i="1"/>
  <c r="G89" i="1"/>
  <c r="G165" i="1"/>
  <c r="G44" i="1"/>
  <c r="G39" i="1"/>
  <c r="G135" i="1"/>
  <c r="G85" i="1"/>
</calcChain>
</file>

<file path=xl/sharedStrings.xml><?xml version="1.0" encoding="utf-8"?>
<sst xmlns="http://schemas.openxmlformats.org/spreadsheetml/2006/main" count="735" uniqueCount="113">
  <si>
    <t>Course Code</t>
  </si>
  <si>
    <t>Instructor</t>
  </si>
  <si>
    <t>Enrolled</t>
  </si>
  <si>
    <t>Responses</t>
  </si>
  <si>
    <t>Avg Hours</t>
  </si>
  <si>
    <t>Sentiment Score</t>
  </si>
  <si>
    <t>(s)</t>
  </si>
  <si>
    <t>(s) Joseph Stadolnik</t>
  </si>
  <si>
    <t>(s) Lokchun Law</t>
  </si>
  <si>
    <t>(s)  Magnus Ferguson</t>
  </si>
  <si>
    <t>(s) Sianne Ngai</t>
  </si>
  <si>
    <t>(s) Haitham Ibrahim</t>
  </si>
  <si>
    <t>(s) Whitney Cox</t>
  </si>
  <si>
    <t>(s) HsinYuan Peng</t>
  </si>
  <si>
    <t>(s) Stephen Haswell Todd</t>
  </si>
  <si>
    <t>(s) Benjamin Morgan</t>
  </si>
  <si>
    <t>(s) Kevin King</t>
  </si>
  <si>
    <t>(s) Geoffrey Rees</t>
  </si>
  <si>
    <t>(s) Nicholas Longworth</t>
  </si>
  <si>
    <t>(s)  Joseph Stadolnik</t>
  </si>
  <si>
    <t>(s) Pablo Ottonello</t>
  </si>
  <si>
    <t>(s)  David Finkelstein</t>
  </si>
  <si>
    <t>(s) Daniel Wyche</t>
  </si>
  <si>
    <t>(s) Sophie Salvo</t>
  </si>
  <si>
    <t>(s) Herve Reculeau</t>
  </si>
  <si>
    <t>(s) Rocco Rubini</t>
  </si>
  <si>
    <t>(s) Emily Coit</t>
  </si>
  <si>
    <t>(s) Katherine Buse</t>
  </si>
  <si>
    <t>(s) Magnus Ferguson</t>
  </si>
  <si>
    <t>(s) Kimberly Kenny</t>
  </si>
  <si>
    <t>(s) MeeJu Ro</t>
  </si>
  <si>
    <t>(s) Ermioni Prokopaki</t>
  </si>
  <si>
    <t>(s) Ryan Simonelli</t>
  </si>
  <si>
    <t>(s) Melina Garibovic</t>
  </si>
  <si>
    <t>(s) Elisabeth Wilhelm</t>
  </si>
  <si>
    <t>(s) Robert Marineau</t>
  </si>
  <si>
    <t>(s)  Gabriel Ellis</t>
  </si>
  <si>
    <t>(s) Valerie Levan</t>
  </si>
  <si>
    <t>(s) Richard Zaleski</t>
  </si>
  <si>
    <t>(s) Patrice Rankine</t>
  </si>
  <si>
    <t>(s) Melissa Van Wyk</t>
  </si>
  <si>
    <t>(s) Dag Lindskog</t>
  </si>
  <si>
    <t>(s) Gabriel Ellis</t>
  </si>
  <si>
    <t>(s) Rebeca Velasquez</t>
  </si>
  <si>
    <t>(s) Laura Colaneri</t>
  </si>
  <si>
    <t>(s) David Mettens</t>
  </si>
  <si>
    <t>(s) Itamar Francez</t>
  </si>
  <si>
    <t>(s) Malynne Sternstein</t>
  </si>
  <si>
    <t>(s) Leland Jasperse</t>
  </si>
  <si>
    <t>(s) Miguel Martinez</t>
  </si>
  <si>
    <t>(s) Yueling Ji</t>
  </si>
  <si>
    <t>(s) Pauline Goul</t>
  </si>
  <si>
    <t>(s) Hoyt Long</t>
  </si>
  <si>
    <t>(s) Eduardo Le√£o</t>
  </si>
  <si>
    <t>(s) Martha T Roth</t>
  </si>
  <si>
    <t>(s) Supurna Dasgupta</t>
  </si>
  <si>
    <t>(s) Doren Snoek</t>
  </si>
  <si>
    <t>(s) Julie Orlemanski</t>
  </si>
  <si>
    <t>(s) Lee Hoffer</t>
  </si>
  <si>
    <t>(s)  Haitham Ibrahim</t>
  </si>
  <si>
    <t>(s) Adam Flowers</t>
  </si>
  <si>
    <t>(s)  Armando Maggi</t>
  </si>
  <si>
    <t>(s) Ariel Fox</t>
  </si>
  <si>
    <t>(s) Paola Iovene</t>
  </si>
  <si>
    <t>(s) Maria Anna Mariani</t>
  </si>
  <si>
    <t>(s) Megan Tusler</t>
  </si>
  <si>
    <t>(s) Simon Friedland</t>
  </si>
  <si>
    <t>(s) Emily Austin</t>
  </si>
  <si>
    <t>(s) David Wray</t>
  </si>
  <si>
    <t>Normalised Hours</t>
  </si>
  <si>
    <t>Inverted Sentiment</t>
  </si>
  <si>
    <t>Final Difficulty Score</t>
  </si>
  <si>
    <t>Response Rate</t>
  </si>
  <si>
    <t>Row Labels</t>
  </si>
  <si>
    <t>Grand Total</t>
  </si>
  <si>
    <t>Average of Final Difficulty Score</t>
  </si>
  <si>
    <t>Average of Avg Hours</t>
  </si>
  <si>
    <t>HUMA 12400 (HBC)</t>
  </si>
  <si>
    <t>HUMA 12300 (HBC)</t>
  </si>
  <si>
    <t>HUMA 12500 (HBC)</t>
  </si>
  <si>
    <t>HUMA 12050 (Greece/Rome)</t>
  </si>
  <si>
    <t>HUMA 12150 (Greece/Rome)</t>
  </si>
  <si>
    <t>HUMA 11700 (PhilPer)</t>
  </si>
  <si>
    <t>HUMA 11600 (PhilPer)</t>
  </si>
  <si>
    <t>HUMA 11500 (PhilPer)</t>
  </si>
  <si>
    <t>HUMA 16100 (Media)</t>
  </si>
  <si>
    <t>HUMA 16000 (Media)</t>
  </si>
  <si>
    <t>HUMA 16200 (Media)</t>
  </si>
  <si>
    <t>HUMA 17000 (Language)</t>
  </si>
  <si>
    <t>HUMA 17100 (Language)</t>
  </si>
  <si>
    <t>HUMA 17200 (Language)</t>
  </si>
  <si>
    <t>HUMA 11000 (Readings)</t>
  </si>
  <si>
    <t>HUMA 11100 (Readings)</t>
  </si>
  <si>
    <t>HUMA 11200 (Readings)</t>
  </si>
  <si>
    <t>HUMA 18000 (Poetry)</t>
  </si>
  <si>
    <t>HUMA 18100 (Poetry)</t>
  </si>
  <si>
    <t>HUMA 18200 (Poetry)</t>
  </si>
  <si>
    <t>HUMA 14000 (Cultures)</t>
  </si>
  <si>
    <t>HUMA 14100 (Reading Cultures)</t>
  </si>
  <si>
    <t>HUMA 14100 (Cultures)</t>
  </si>
  <si>
    <t>HUMA 14200 (Cultures)</t>
  </si>
  <si>
    <t>(blank)</t>
  </si>
  <si>
    <t>Sequence Group</t>
  </si>
  <si>
    <t>Human Being and Citizen</t>
  </si>
  <si>
    <t>Readings in World Lit</t>
  </si>
  <si>
    <t>Philosophical Perspectives</t>
  </si>
  <si>
    <t>Greece and Rome</t>
  </si>
  <si>
    <t>Reading Cultures</t>
  </si>
  <si>
    <t>Media Aesthetics</t>
  </si>
  <si>
    <t>Language and the Human</t>
  </si>
  <si>
    <t>Poetry and the Human</t>
  </si>
  <si>
    <t>Average of Sentiment Score</t>
  </si>
  <si>
    <t>Sum of Normalised Hours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</si>
</sst>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9" formatCode="0.0000"/>
  </numFmts>
  <fonts count="20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sz val="18"/>
      <color rgb="FFFF0000"/>
      <name val="Aptos Narrow"/>
      <family val="2"/>
      <scheme val="minor"/>
    </font>
    <font>
      <sz val="18"/>
      <color theme="1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1">
    <xf numFmtId="0" fontId="0" fillId="0" borderId="0" xfId="0"/>
    <xf numFmtId="0" fontId="18" fillId="0" borderId="0" xfId="0" applyFont="1"/>
    <xf numFmtId="0" fontId="19" fillId="0" borderId="0" xfId="0" applyFont="1"/>
    <xf numFmtId="164" fontId="19" fillId="0" borderId="0" xfId="0" applyNumberFormat="1" applyFont="1"/>
    <xf numFmtId="1" fontId="19" fillId="0" borderId="0" xfId="0" applyNumberFormat="1" applyFont="1"/>
    <xf numFmtId="9" fontId="19" fillId="0" borderId="0" xfId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69" fontId="0" fillId="0" borderId="0" xfId="0" applyNumberFormat="1"/>
    <xf numFmtId="0" fontId="14" fillId="0" borderId="0" xfId="0" applyFon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 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19">
    <dxf>
      <font>
        <color rgb="FFFF0000"/>
      </font>
    </dxf>
    <dxf>
      <font>
        <color rgb="FFFF0000"/>
      </font>
    </dxf>
    <dxf>
      <font>
        <color rgb="FFFF0000"/>
      </font>
    </dxf>
    <dxf>
      <numFmt numFmtId="169" formatCode="0.0000"/>
    </dxf>
    <dxf>
      <numFmt numFmtId="169" formatCode="0.0000"/>
    </dxf>
    <dxf>
      <numFmt numFmtId="169" formatCode="0.0000"/>
    </dxf>
    <dxf>
      <numFmt numFmtId="169" formatCode="0.0000"/>
    </dxf>
    <dxf>
      <numFmt numFmtId="169" formatCode="0.0000"/>
    </dxf>
    <dxf>
      <numFmt numFmtId="169" formatCode="0.0000"/>
    </dxf>
    <dxf>
      <numFmt numFmtId="168" formatCode="0.00000"/>
    </dxf>
    <dxf>
      <numFmt numFmtId="169" formatCode="0.0000"/>
    </dxf>
    <dxf>
      <numFmt numFmtId="167" formatCode="0.000000"/>
    </dxf>
    <dxf>
      <numFmt numFmtId="166" formatCode="0.0000000"/>
    </dxf>
    <dxf>
      <numFmt numFmtId="165" formatCode="0.00000000"/>
    </dxf>
    <dxf>
      <numFmt numFmtId="169" formatCode="0.0000"/>
    </dxf>
    <dxf>
      <numFmt numFmtId="164" formatCode="0.000"/>
    </dxf>
    <dxf>
      <numFmt numFmtId="169" formatCode="0.0000"/>
    </dxf>
    <dxf>
      <numFmt numFmtId="2" formatCode="0.00"/>
    </dxf>
    <dxf>
      <numFmt numFmtId="170" formatCode="0.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vanna Leung" refreshedDate="45739.823874189817" createdVersion="8" refreshedVersion="8" minRefreshableVersion="3" recordCount="218" xr:uid="{9FAB8B1E-C819-C443-AEB3-89363A7DACEC}">
  <cacheSource type="worksheet">
    <worksheetSource ref="A1:K219" sheet="hum_course_results"/>
  </cacheSource>
  <cacheFields count="11">
    <cacheField name="Course Code" numFmtId="0">
      <sharedItems containsBlank="1" count="25">
        <s v="HUMA 11000 (Readings)"/>
        <s v="HUMA 11100 (Readings)"/>
        <s v="HUMA 11200 (Readings)"/>
        <s v="HUMA 11500 (PhilPer)"/>
        <s v="HUMA 11600 (PhilPer)"/>
        <s v="HUMA 11700 (PhilPer)"/>
        <s v="HUMA 12050 (Greece/Rome)"/>
        <s v="HUMA 12150 (Greece/Rome)"/>
        <s v="HUMA 12300 (HBC)"/>
        <s v="HUMA 12400 (HBC)"/>
        <s v="HUMA 12500 (HBC)"/>
        <s v="HUMA 14000 (Cultures)"/>
        <s v="HUMA 14100 (Cultures)"/>
        <s v="HUMA 14100 (Reading Cultures)"/>
        <s v="HUMA 14200 (Cultures)"/>
        <s v="HUMA 16000 (Media)"/>
        <s v="HUMA 16100 (Media)"/>
        <s v="HUMA 16200 (Media)"/>
        <s v="HUMA 17000 (Language)"/>
        <s v="HUMA 17100 (Language)"/>
        <s v="HUMA 17200 (Language)"/>
        <s v="HUMA 18000 (Poetry)"/>
        <s v="HUMA 18100 (Poetry)"/>
        <s v="HUMA 18200 (Poetry)"/>
        <m/>
      </sharedItems>
    </cacheField>
    <cacheField name="Instructor" numFmtId="0">
      <sharedItems containsBlank="1"/>
    </cacheField>
    <cacheField name="Avg Hours" numFmtId="0">
      <sharedItems containsString="0" containsBlank="1" containsNumber="1" minValue="3.17" maxValue="17.5"/>
    </cacheField>
    <cacheField name="Sentiment Score" numFmtId="0">
      <sharedItems containsString="0" containsBlank="1" containsNumber="1" minValue="8.5000000000000006E-2" maxValue="0.314"/>
    </cacheField>
    <cacheField name="Normalised Hours" numFmtId="0">
      <sharedItems containsString="0" containsBlank="1" containsNumber="1" minValue="0" maxValue="1"/>
    </cacheField>
    <cacheField name="Inverted Sentiment" numFmtId="0">
      <sharedItems containsString="0" containsBlank="1" containsNumber="1" minValue="0" maxValue="1"/>
    </cacheField>
    <cacheField name="Final Difficulty Score" numFmtId="0">
      <sharedItems containsString="0" containsBlank="1" containsNumber="1" minValue="9.225766934729418E-2" maxValue="0.65373434057478574"/>
    </cacheField>
    <cacheField name="Enrolled" numFmtId="1">
      <sharedItems containsSemiMixedTypes="0" containsString="0" containsNumber="1" containsInteger="1" minValue="7" maxValue="3606"/>
    </cacheField>
    <cacheField name="Responses" numFmtId="1">
      <sharedItems containsSemiMixedTypes="0" containsString="0" containsNumber="1" containsInteger="1" minValue="4" maxValue="2253"/>
    </cacheField>
    <cacheField name="Response Rate" numFmtId="0">
      <sharedItems containsString="0" containsBlank="1" containsNumber="1" minValue="0.21052631578947367" maxValue="1"/>
    </cacheField>
    <cacheField name="Sequence Group" numFmtId="0">
      <sharedItems containsBlank="1" count="9">
        <s v="Readings in World Lit"/>
        <s v="Philosophical Perspectives"/>
        <s v="Greece and Rome"/>
        <s v="Human Being and Citizen"/>
        <s v="Reading Cultures"/>
        <s v="Media Aesthetics"/>
        <s v="Language and the Human"/>
        <s v="Poetry and the Human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8">
  <r>
    <x v="0"/>
    <s v="(s) Yueling Ji"/>
    <n v="3.75"/>
    <n v="0.254"/>
    <n v="4.0474528960223313E-2"/>
    <n v="0.2620087336244542"/>
    <n v="0.15124163129233875"/>
    <n v="19"/>
    <n v="12"/>
    <n v="0.63157894736842102"/>
    <x v="0"/>
  </r>
  <r>
    <x v="0"/>
    <s v="(s)"/>
    <n v="5.5"/>
    <n v="0.24"/>
    <n v="0.16259595254710399"/>
    <n v="0.32314410480349354"/>
    <n v="0.24287002867529878"/>
    <n v="15"/>
    <n v="10"/>
    <n v="0.66666666666666663"/>
    <x v="0"/>
  </r>
  <r>
    <x v="0"/>
    <s v="(s)"/>
    <n v="6.59"/>
    <n v="0.24399999999999999"/>
    <n v="0.23866015352407535"/>
    <n v="0.30567685589519655"/>
    <n v="0.27216850470963594"/>
    <n v="17"/>
    <n v="11"/>
    <n v="0.6470588235294118"/>
    <x v="0"/>
  </r>
  <r>
    <x v="0"/>
    <s v="(s)"/>
    <n v="4.04"/>
    <n v="0.20300000000000001"/>
    <n v="6.071179344033497E-2"/>
    <n v="0.48471615720524008"/>
    <n v="0.27271397532278752"/>
    <n v="19"/>
    <n v="14"/>
    <n v="0.73684210526315785"/>
    <x v="0"/>
  </r>
  <r>
    <x v="0"/>
    <s v="(s)"/>
    <n v="5.5"/>
    <n v="0.21199999999999999"/>
    <n v="0.16259595254710399"/>
    <n v="0.44541484716157198"/>
    <n v="0.304005399854338"/>
    <n v="19"/>
    <n v="10"/>
    <n v="0.52631578947368418"/>
    <x v="0"/>
  </r>
  <r>
    <x v="0"/>
    <s v="(s)"/>
    <n v="4.32"/>
    <n v="0.186"/>
    <n v="8.025122121423589E-2"/>
    <n v="0.55895196506550215"/>
    <n v="0.31960159313986902"/>
    <n v="18"/>
    <n v="12"/>
    <n v="0.66666666666666663"/>
    <x v="0"/>
  </r>
  <r>
    <x v="0"/>
    <s v="(s)"/>
    <n v="9.17"/>
    <n v="0.25900000000000001"/>
    <n v="0.41870202372644799"/>
    <n v="0.24017467248908297"/>
    <n v="0.32943834810776551"/>
    <n v="19"/>
    <n v="10"/>
    <n v="0.52631578947368418"/>
    <x v="0"/>
  </r>
  <r>
    <x v="0"/>
    <s v="(s) Stephen Haswell Todd"/>
    <n v="6.94"/>
    <n v="0.223"/>
    <n v="0.26308443824145156"/>
    <n v="0.39737991266375539"/>
    <n v="0.33023217545260347"/>
    <n v="13"/>
    <n v="9"/>
    <n v="0.69230769230769229"/>
    <x v="0"/>
  </r>
  <r>
    <x v="0"/>
    <s v="(s)"/>
    <n v="5.96"/>
    <n v="0.20399999999999999"/>
    <n v="0.19469644103279832"/>
    <n v="0.48034934497816595"/>
    <n v="0.33752289300548211"/>
    <n v="18"/>
    <n v="13"/>
    <n v="0.72222222222222221"/>
    <x v="0"/>
  </r>
  <r>
    <x v="0"/>
    <s v="(s)"/>
    <n v="5.58"/>
    <n v="0.17799999999999999"/>
    <n v="0.16817864619678996"/>
    <n v="0.59388646288209612"/>
    <n v="0.38103255453944307"/>
    <n v="19"/>
    <n v="13"/>
    <n v="0.68421052631578949"/>
    <x v="0"/>
  </r>
  <r>
    <x v="0"/>
    <s v="(s)"/>
    <n v="6.67"/>
    <n v="0.19500000000000001"/>
    <n v="0.24424284717376135"/>
    <n v="0.51965065502183405"/>
    <n v="0.38194675109779769"/>
    <n v="16"/>
    <n v="7"/>
    <n v="0.4375"/>
    <x v="0"/>
  </r>
  <r>
    <x v="0"/>
    <s v="(s) Ermioni Prokopaki"/>
    <n v="5"/>
    <n v="0.159"/>
    <n v="0.12770411723656666"/>
    <n v="0.67685589519650646"/>
    <n v="0.40228000621653659"/>
    <n v="17"/>
    <n v="8"/>
    <n v="0.47058823529411764"/>
    <x v="0"/>
  </r>
  <r>
    <x v="0"/>
    <s v="(s) David Mettens"/>
    <n v="6.56"/>
    <n v="0.159"/>
    <n v="0.23656664340544312"/>
    <n v="0.67685589519650646"/>
    <n v="0.45671126930097478"/>
    <n v="18"/>
    <n v="16"/>
    <n v="0.88888888888888884"/>
    <x v="0"/>
  </r>
  <r>
    <x v="1"/>
    <s v="(s)"/>
    <n v="5.96"/>
    <n v="0.26900000000000002"/>
    <n v="0.19469644103279832"/>
    <n v="0.19650655021834051"/>
    <n v="0.19560149562556942"/>
    <n v="16"/>
    <n v="14"/>
    <n v="0.875"/>
    <x v="0"/>
  </r>
  <r>
    <x v="1"/>
    <s v="(s)"/>
    <n v="5"/>
    <n v="0.246"/>
    <n v="0.12770411723656666"/>
    <n v="0.29694323144104806"/>
    <n v="0.21232367433880736"/>
    <n v="16"/>
    <n v="6"/>
    <n v="0.375"/>
    <x v="0"/>
  </r>
  <r>
    <x v="1"/>
    <s v="(s)  Haitham Ibrahim"/>
    <n v="4"/>
    <n v="0.22800000000000001"/>
    <n v="5.7920446615491977E-2"/>
    <n v="0.37554585152838416"/>
    <n v="0.21673314907193808"/>
    <n v="18"/>
    <n v="11"/>
    <n v="0.61111111111111116"/>
    <x v="0"/>
  </r>
  <r>
    <x v="1"/>
    <s v="(s) Valerie Levan"/>
    <n v="6.94"/>
    <n v="0.26400000000000001"/>
    <n v="0.26308443824145156"/>
    <n v="0.21834061135371174"/>
    <n v="0.24071252479758165"/>
    <n v="16"/>
    <n v="10"/>
    <n v="0.625"/>
    <x v="0"/>
  </r>
  <r>
    <x v="1"/>
    <s v="(s) Pablo Ottonello"/>
    <n v="4.72"/>
    <n v="0.22500000000000001"/>
    <n v="0.10816468946266572"/>
    <n v="0.38864628820960689"/>
    <n v="0.24840548883613631"/>
    <n v="11"/>
    <n v="9"/>
    <n v="0.81818181818181823"/>
    <x v="0"/>
  </r>
  <r>
    <x v="1"/>
    <s v="(s) Julie Orlemanski"/>
    <n v="5.42"/>
    <n v="0.23"/>
    <n v="0.15701325889741799"/>
    <n v="0.36681222707423566"/>
    <n v="0.26191274298582684"/>
    <n v="19"/>
    <n v="12"/>
    <n v="0.63157894736842102"/>
    <x v="0"/>
  </r>
  <r>
    <x v="1"/>
    <s v="(s) Valerie Levan"/>
    <n v="5.96"/>
    <n v="0.23699999999999999"/>
    <n v="0.19469644103279832"/>
    <n v="0.33624454148471628"/>
    <n v="0.26547049125875732"/>
    <n v="19"/>
    <n v="13"/>
    <n v="0.68421052631578949"/>
    <x v="0"/>
  </r>
  <r>
    <x v="1"/>
    <s v="(s)"/>
    <n v="6.59"/>
    <n v="0.21199999999999999"/>
    <n v="0.23866015352407535"/>
    <n v="0.44541484716157198"/>
    <n v="0.34203750034282365"/>
    <n v="19"/>
    <n v="11"/>
    <n v="0.57894736842105265"/>
    <x v="0"/>
  </r>
  <r>
    <x v="1"/>
    <s v="(s)"/>
    <n v="8.5"/>
    <n v="0.23499999999999999"/>
    <n v="0.37194696441032798"/>
    <n v="0.34497816593886477"/>
    <n v="0.3584625651745964"/>
    <n v="18"/>
    <n v="10"/>
    <n v="0.55555555555555558"/>
    <x v="0"/>
  </r>
  <r>
    <x v="1"/>
    <s v="(s)"/>
    <n v="8.5"/>
    <n v="0.23"/>
    <n v="0.37194696441032798"/>
    <n v="0.36681222707423566"/>
    <n v="0.36937959574228185"/>
    <n v="18"/>
    <n v="9"/>
    <n v="0.5"/>
    <x v="0"/>
  </r>
  <r>
    <x v="1"/>
    <s v="(s) Doren Snoek"/>
    <n v="8.5"/>
    <n v="0.214"/>
    <n v="0.37194696441032798"/>
    <n v="0.43668122270742349"/>
    <n v="0.40431409355887571"/>
    <n v="10"/>
    <n v="8"/>
    <n v="0.8"/>
    <x v="0"/>
  </r>
  <r>
    <x v="1"/>
    <s v="(s)"/>
    <n v="5"/>
    <n v="0.14799999999999999"/>
    <n v="0.12770411723656666"/>
    <n v="0.72489082969432317"/>
    <n v="0.42629747346544489"/>
    <n v="19"/>
    <n v="8"/>
    <n v="0.42105263157894735"/>
    <x v="0"/>
  </r>
  <r>
    <x v="1"/>
    <s v="(s) HsinYuan Peng"/>
    <n v="9.17"/>
    <n v="0.16800000000000001"/>
    <n v="0.41870202372644799"/>
    <n v="0.63755458515283836"/>
    <n v="0.5281283044396432"/>
    <n v="19"/>
    <n v="16"/>
    <n v="0.84210526315789469"/>
    <x v="0"/>
  </r>
  <r>
    <x v="2"/>
    <s v="(s)"/>
    <n v="5.68"/>
    <n v="0.16600000000000001"/>
    <n v="0.1751570132588974"/>
    <n v="0.64628820960698685"/>
    <n v="0.41072261143294214"/>
    <n v="17"/>
    <n v="11"/>
    <n v="0.6470588235294118"/>
    <x v="0"/>
  </r>
  <r>
    <x v="3"/>
    <s v="(s)"/>
    <n v="4.42"/>
    <n v="0.26600000000000001"/>
    <n v="8.7229588276343334E-2"/>
    <n v="0.20960698689956325"/>
    <n v="0.14841828758795328"/>
    <n v="19"/>
    <n v="13"/>
    <n v="0.68421052631578949"/>
    <x v="1"/>
  </r>
  <r>
    <x v="3"/>
    <s v="(s) Miguel Martinez"/>
    <n v="6.89"/>
    <n v="0.26200000000000001"/>
    <n v="0.25959525471039774"/>
    <n v="0.22707423580786024"/>
    <n v="0.24333474525912899"/>
    <n v="11"/>
    <n v="7"/>
    <n v="0.63636363636363635"/>
    <x v="1"/>
  </r>
  <r>
    <x v="3"/>
    <s v="(s) Patrice Rankine"/>
    <n v="5.42"/>
    <n v="0.22800000000000001"/>
    <n v="0.15701325889741799"/>
    <n v="0.37554585152838416"/>
    <n v="0.26627955521290109"/>
    <n v="18"/>
    <n v="12"/>
    <n v="0.66666666666666663"/>
    <x v="1"/>
  </r>
  <r>
    <x v="3"/>
    <s v="(s)"/>
    <n v="6.5"/>
    <n v="0.24"/>
    <n v="0.23237962316817865"/>
    <n v="0.32314410480349354"/>
    <n v="0.27776186398583608"/>
    <n v="15"/>
    <n v="10"/>
    <n v="0.66666666666666663"/>
    <x v="1"/>
  </r>
  <r>
    <x v="3"/>
    <s v="(s)"/>
    <n v="4.72"/>
    <n v="0.21099999999999999"/>
    <n v="0.10816468946266572"/>
    <n v="0.44978165938864623"/>
    <n v="0.27897317442565595"/>
    <n v="18"/>
    <n v="9"/>
    <n v="0.5"/>
    <x v="1"/>
  </r>
  <r>
    <x v="3"/>
    <s v="(s)"/>
    <n v="7.5"/>
    <n v="0.245"/>
    <n v="0.30216329378925333"/>
    <n v="0.30131004366812231"/>
    <n v="0.30173666872868782"/>
    <n v="19"/>
    <n v="14"/>
    <n v="0.73684210526315785"/>
    <x v="1"/>
  </r>
  <r>
    <x v="3"/>
    <s v="(s) Richard Zaleski"/>
    <n v="5.96"/>
    <n v="0.216"/>
    <n v="0.19469644103279832"/>
    <n v="0.427947598253275"/>
    <n v="0.31132201964303663"/>
    <n v="13"/>
    <n v="13"/>
    <n v="1"/>
    <x v="1"/>
  </r>
  <r>
    <x v="3"/>
    <s v="(s) Benjamin Morgan"/>
    <n v="5.6"/>
    <n v="0.20499999999999999"/>
    <n v="0.16957431960921143"/>
    <n v="0.4759825327510917"/>
    <n v="0.32277842618015157"/>
    <n v="19"/>
    <n v="12"/>
    <n v="0.63157894736842102"/>
    <x v="1"/>
  </r>
  <r>
    <x v="3"/>
    <s v="(s)"/>
    <n v="5.93"/>
    <n v="0.2"/>
    <n v="0.19260293091416608"/>
    <n v="0.49781659388646282"/>
    <n v="0.34520976240031442"/>
    <n v="13"/>
    <n v="12"/>
    <n v="0.92307692307692313"/>
    <x v="1"/>
  </r>
  <r>
    <x v="3"/>
    <s v="(s)"/>
    <n v="7.5"/>
    <n v="0.22500000000000001"/>
    <n v="0.30216329378925333"/>
    <n v="0.38864628820960689"/>
    <n v="0.34540479099943011"/>
    <n v="19"/>
    <n v="10"/>
    <n v="0.52631578947368418"/>
    <x v="1"/>
  </r>
  <r>
    <x v="3"/>
    <s v="(s)  Gabriel Ellis"/>
    <n v="7.5"/>
    <n v="0.219"/>
    <n v="0.30216329378925333"/>
    <n v="0.41484716157205237"/>
    <n v="0.35850522768065285"/>
    <n v="16"/>
    <n v="7"/>
    <n v="0.4375"/>
    <x v="1"/>
  </r>
  <r>
    <x v="3"/>
    <s v="(s) Geoffrey Rees"/>
    <n v="6.25"/>
    <n v="0.18"/>
    <n v="0.21493370551290999"/>
    <n v="0.58515283842794763"/>
    <n v="0.40004327197042883"/>
    <n v="14"/>
    <n v="8"/>
    <n v="0.5714285714285714"/>
    <x v="1"/>
  </r>
  <r>
    <x v="3"/>
    <s v="(s) MeeJu Ro"/>
    <n v="7.5"/>
    <n v="0.19800000000000001"/>
    <n v="0.30216329378925333"/>
    <n v="0.50655021834061131"/>
    <n v="0.40435675606493232"/>
    <n v="19"/>
    <n v="4"/>
    <n v="0.21052631578947367"/>
    <x v="1"/>
  </r>
  <r>
    <x v="3"/>
    <s v="(s)  Magnus Ferguson"/>
    <n v="8.5"/>
    <n v="0.19500000000000001"/>
    <n v="0.37194696441032798"/>
    <n v="0.51965065502183405"/>
    <n v="0.44579880971608099"/>
    <n v="8"/>
    <n v="5"/>
    <n v="0.625"/>
    <x v="1"/>
  </r>
  <r>
    <x v="3"/>
    <s v="(s) Martha T Roth"/>
    <n v="7.7"/>
    <n v="0.17699999999999999"/>
    <n v="0.31612002791346827"/>
    <n v="0.59825327510917026"/>
    <n v="0.45718665151131926"/>
    <n v="18"/>
    <n v="9"/>
    <n v="0.5"/>
    <x v="1"/>
  </r>
  <r>
    <x v="3"/>
    <s v="(s)"/>
    <n v="8.61"/>
    <n v="0.17199999999999999"/>
    <n v="0.37962316817864616"/>
    <n v="0.6200873362445416"/>
    <n v="0.49985525221159388"/>
    <n v="19"/>
    <n v="9"/>
    <n v="0.47368421052631576"/>
    <x v="1"/>
  </r>
  <r>
    <x v="4"/>
    <s v="(s)"/>
    <n v="4.58"/>
    <n v="0.26600000000000001"/>
    <n v="9.8394975575715291E-2"/>
    <n v="0.20960698689956325"/>
    <n v="0.15400098123763928"/>
    <n v="16"/>
    <n v="12"/>
    <n v="0.75"/>
    <x v="1"/>
  </r>
  <r>
    <x v="4"/>
    <s v="(s)"/>
    <n v="5.78"/>
    <n v="0.27"/>
    <n v="0.1821353803210049"/>
    <n v="0.19213973799126627"/>
    <n v="0.18713755915613559"/>
    <n v="19"/>
    <n v="11"/>
    <n v="0.57894736842105265"/>
    <x v="1"/>
  </r>
  <r>
    <x v="4"/>
    <s v="(s)"/>
    <n v="5.42"/>
    <n v="0.24099999999999999"/>
    <n v="0.15701325889741799"/>
    <n v="0.31877729257641929"/>
    <n v="0.23789527573691865"/>
    <n v="16"/>
    <n v="13"/>
    <n v="0.8125"/>
    <x v="1"/>
  </r>
  <r>
    <x v="4"/>
    <s v="(s)"/>
    <n v="4.32"/>
    <n v="0.20799999999999999"/>
    <n v="8.025122121423589E-2"/>
    <n v="0.46288209606986908"/>
    <n v="0.27156665864205248"/>
    <n v="19"/>
    <n v="12"/>
    <n v="0.63157894736842102"/>
    <x v="1"/>
  </r>
  <r>
    <x v="4"/>
    <s v="(s)"/>
    <n v="5.83"/>
    <n v="0.22700000000000001"/>
    <n v="0.18562456385205864"/>
    <n v="0.3799126637554584"/>
    <n v="0.28276861380375851"/>
    <n v="19"/>
    <n v="9"/>
    <n v="0.47368421052631576"/>
    <x v="1"/>
  </r>
  <r>
    <x v="4"/>
    <s v="(s)"/>
    <n v="5.36"/>
    <n v="0.217"/>
    <n v="0.15282623866015355"/>
    <n v="0.42358078602620075"/>
    <n v="0.28820351234317715"/>
    <n v="19"/>
    <n v="14"/>
    <n v="0.73684210526315785"/>
    <x v="1"/>
  </r>
  <r>
    <x v="4"/>
    <s v="(s) Melissa Van Wyk"/>
    <n v="7.5"/>
    <n v="0.25"/>
    <n v="0.30216329378925333"/>
    <n v="0.27947598253275108"/>
    <n v="0.2908196381610022"/>
    <n v="12"/>
    <n v="9"/>
    <n v="0.75"/>
    <x v="1"/>
  </r>
  <r>
    <x v="4"/>
    <s v="(s) Emily Coit"/>
    <n v="7.1"/>
    <n v="0.23200000000000001"/>
    <n v="0.27424982554082344"/>
    <n v="0.35807860262008717"/>
    <n v="0.31616421408045531"/>
    <n v="16"/>
    <n v="11"/>
    <n v="0.6875"/>
    <x v="1"/>
  </r>
  <r>
    <x v="4"/>
    <s v="(s)"/>
    <n v="4.17"/>
    <n v="0.186"/>
    <n v="6.978367062107467E-2"/>
    <n v="0.55895196506550215"/>
    <n v="0.31436781784328843"/>
    <n v="10"/>
    <n v="4"/>
    <n v="0.4"/>
    <x v="1"/>
  </r>
  <r>
    <x v="4"/>
    <s v="(s) Ryan Simonelli"/>
    <n v="5.68"/>
    <n v="0.20300000000000001"/>
    <n v="0.1751570132588974"/>
    <n v="0.48471615720524008"/>
    <n v="0.32993658523206876"/>
    <n v="19"/>
    <n v="12"/>
    <n v="0.63157894736842102"/>
    <x v="1"/>
  </r>
  <r>
    <x v="4"/>
    <s v="(s)"/>
    <n v="6.25"/>
    <n v="0.21099999999999999"/>
    <n v="0.21493370551290999"/>
    <n v="0.44978165938864623"/>
    <n v="0.33235768245077812"/>
    <n v="19"/>
    <n v="12"/>
    <n v="0.63157894736842102"/>
    <x v="1"/>
  </r>
  <r>
    <x v="4"/>
    <s v="(s) Valerie Levan"/>
    <n v="7.05"/>
    <n v="0.20899999999999999"/>
    <n v="0.27076064200976968"/>
    <n v="0.45851528384279483"/>
    <n v="0.36463796292628226"/>
    <n v="17"/>
    <n v="11"/>
    <n v="0.6470588235294118"/>
    <x v="1"/>
  </r>
  <r>
    <x v="4"/>
    <s v="(s) Leland Jasperse"/>
    <n v="6.79"/>
    <n v="0.2"/>
    <n v="0.25261688764829032"/>
    <n v="0.49781659388646282"/>
    <n v="0.37521674076737654"/>
    <n v="19"/>
    <n v="14"/>
    <n v="0.73684210526315785"/>
    <x v="1"/>
  </r>
  <r>
    <x v="4"/>
    <s v="(s)"/>
    <n v="8.75"/>
    <n v="0.20899999999999999"/>
    <n v="0.38939288206559663"/>
    <n v="0.45851528384279483"/>
    <n v="0.42395408295419573"/>
    <n v="9"/>
    <n v="4"/>
    <n v="0.44444444444444442"/>
    <x v="1"/>
  </r>
  <r>
    <x v="4"/>
    <s v="(s) Laura Colaneri"/>
    <n v="10"/>
    <n v="0.217"/>
    <n v="0.47662247034194"/>
    <n v="0.42358078602620075"/>
    <n v="0.4501016281840704"/>
    <n v="14"/>
    <n v="10"/>
    <n v="0.7142857142857143"/>
    <x v="1"/>
  </r>
  <r>
    <x v="4"/>
    <s v="(s) Geoffrey Rees"/>
    <n v="10"/>
    <n v="0.126"/>
    <n v="0.47662247034194"/>
    <n v="0.82096069868995636"/>
    <n v="0.64879158451594821"/>
    <n v="10"/>
    <n v="7"/>
    <n v="0.7"/>
    <x v="1"/>
  </r>
  <r>
    <x v="5"/>
    <s v="(s)"/>
    <n v="5.83"/>
    <n v="0.29799999999999999"/>
    <n v="0.18562456385205864"/>
    <n v="6.9868995633187825E-2"/>
    <n v="0.12774677974262322"/>
    <n v="19"/>
    <n v="10"/>
    <n v="0.52631578947368418"/>
    <x v="1"/>
  </r>
  <r>
    <x v="5"/>
    <s v="(s)"/>
    <n v="4.74"/>
    <n v="0.23599999999999999"/>
    <n v="0.10956036287508725"/>
    <n v="0.34061135371179052"/>
    <n v="0.22508585829343888"/>
    <n v="19"/>
    <n v="7"/>
    <n v="0.36842105263157893"/>
    <x v="1"/>
  </r>
  <r>
    <x v="5"/>
    <s v="(s)"/>
    <n v="4.5"/>
    <n v="0.23100000000000001"/>
    <n v="9.2812281926029319E-2"/>
    <n v="0.36244541484716142"/>
    <n v="0.22762884838659536"/>
    <n v="7"/>
    <n v="5"/>
    <n v="0.7142857142857143"/>
    <x v="1"/>
  </r>
  <r>
    <x v="5"/>
    <s v="(s) Geoffrey Rees"/>
    <n v="7.5"/>
    <n v="0.16200000000000001"/>
    <n v="0.30216329378925333"/>
    <n v="0.66375545851528384"/>
    <n v="0.48295937615226858"/>
    <n v="12"/>
    <n v="7"/>
    <n v="0.58333333333333337"/>
    <x v="1"/>
  </r>
  <r>
    <x v="6"/>
    <s v="(s) Yueling Ji"/>
    <n v="5"/>
    <n v="0.25800000000000001"/>
    <n v="0.12770411723656666"/>
    <n v="0.24454148471615722"/>
    <n v="0.18612280097636194"/>
    <n v="19"/>
    <n v="11"/>
    <n v="0.57894736842105265"/>
    <x v="2"/>
  </r>
  <r>
    <x v="6"/>
    <s v="(s) Joseph Stadolnik"/>
    <n v="7.5"/>
    <n v="0.255"/>
    <n v="0.30216329378925333"/>
    <n v="0.25764192139737996"/>
    <n v="0.27990260759331664"/>
    <n v="18"/>
    <n v="12"/>
    <n v="0.66666666666666663"/>
    <x v="2"/>
  </r>
  <r>
    <x v="6"/>
    <s v="(s) Gabriel Ellis"/>
    <n v="8.33"/>
    <n v="0.26300000000000001"/>
    <n v="0.36008374040474528"/>
    <n v="0.22270742358078599"/>
    <n v="0.29139558199276561"/>
    <n v="19"/>
    <n v="11"/>
    <n v="0.57894736842105265"/>
    <x v="2"/>
  </r>
  <r>
    <x v="6"/>
    <s v="(s)"/>
    <n v="7.5"/>
    <n v="0.248"/>
    <n v="0.30216329378925333"/>
    <n v="0.28820960698689957"/>
    <n v="0.29518645038807645"/>
    <n v="17"/>
    <n v="10"/>
    <n v="0.58823529411764708"/>
    <x v="2"/>
  </r>
  <r>
    <x v="6"/>
    <s v="(s)"/>
    <n v="5.62"/>
    <n v="0.216"/>
    <n v="0.17096999302163296"/>
    <n v="0.427947598253275"/>
    <n v="0.29945879563745398"/>
    <n v="18"/>
    <n v="9"/>
    <n v="0.5"/>
    <x v="2"/>
  </r>
  <r>
    <x v="6"/>
    <s v="(s) Benjamin Morgan"/>
    <n v="6.25"/>
    <n v="0.2"/>
    <n v="0.21493370551290999"/>
    <n v="0.49781659388646282"/>
    <n v="0.35637514969968642"/>
    <n v="19"/>
    <n v="8"/>
    <n v="0.42105263157894735"/>
    <x v="2"/>
  </r>
  <r>
    <x v="6"/>
    <s v="(s)"/>
    <n v="7.5"/>
    <n v="0.21"/>
    <n v="0.30216329378925333"/>
    <n v="0.45414847161572058"/>
    <n v="0.37815588270248696"/>
    <n v="19"/>
    <n v="14"/>
    <n v="0.73684210526315785"/>
    <x v="2"/>
  </r>
  <r>
    <x v="6"/>
    <s v="(s) Joseph Stadolnik"/>
    <n v="8.06"/>
    <n v="0.218"/>
    <n v="0.34124214933705516"/>
    <n v="0.4192139737991265"/>
    <n v="0.38022806156809086"/>
    <n v="16"/>
    <n v="9"/>
    <n v="0.5625"/>
    <x v="2"/>
  </r>
  <r>
    <x v="6"/>
    <s v="(s) Leland Jasperse"/>
    <n v="6.67"/>
    <n v="0.16"/>
    <n v="0.24424284717376135"/>
    <n v="0.67248908296943233"/>
    <n v="0.45836596507159683"/>
    <n v="19"/>
    <n v="12"/>
    <n v="0.63157894736842102"/>
    <x v="2"/>
  </r>
  <r>
    <x v="6"/>
    <s v="(s) Sophie Salvo"/>
    <n v="14.64"/>
    <n v="0.20200000000000001"/>
    <n v="0.80041870202372645"/>
    <n v="0.48908296943231433"/>
    <n v="0.64475083572802039"/>
    <n v="12"/>
    <n v="8"/>
    <n v="0.66666666666666663"/>
    <x v="2"/>
  </r>
  <r>
    <x v="7"/>
    <s v="(s) Gabriel Ellis"/>
    <n v="6"/>
    <n v="0.30099999999999999"/>
    <n v="0.19748778785764132"/>
    <n v="5.6768558951965087E-2"/>
    <n v="0.1271281734048032"/>
    <n v="19"/>
    <n v="10"/>
    <n v="0.52631578947368418"/>
    <x v="2"/>
  </r>
  <r>
    <x v="7"/>
    <s v="(s) Malynne Sternstein"/>
    <n v="7.5"/>
    <n v="0.253"/>
    <n v="0.30216329378925333"/>
    <n v="0.26637554585152845"/>
    <n v="0.28426941982039089"/>
    <n v="18"/>
    <n v="11"/>
    <n v="0.61111111111111116"/>
    <x v="2"/>
  </r>
  <r>
    <x v="7"/>
    <s v="(s) Ermioni Prokopaki"/>
    <n v="5.83"/>
    <n v="0.217"/>
    <n v="0.18562456385205864"/>
    <n v="0.42358078602620075"/>
    <n v="0.30460267493912968"/>
    <n v="14"/>
    <n v="6"/>
    <n v="0.42857142857142855"/>
    <x v="2"/>
  </r>
  <r>
    <x v="7"/>
    <s v="(s)"/>
    <n v="4"/>
    <n v="0.187"/>
    <n v="5.7920446615491977E-2"/>
    <n v="0.55458515283842802"/>
    <n v="0.30625279972696001"/>
    <n v="19"/>
    <n v="10"/>
    <n v="0.52631578947368418"/>
    <x v="2"/>
  </r>
  <r>
    <x v="7"/>
    <s v="(s)"/>
    <n v="7.12"/>
    <n v="0.20899999999999999"/>
    <n v="0.27564549895324497"/>
    <n v="0.45851528384279483"/>
    <n v="0.3670803913980199"/>
    <n v="18"/>
    <n v="13"/>
    <n v="0.72222222222222221"/>
    <x v="2"/>
  </r>
  <r>
    <x v="7"/>
    <s v="(s)"/>
    <n v="4.17"/>
    <n v="0.14799999999999999"/>
    <n v="6.978367062107467E-2"/>
    <n v="0.72489082969432317"/>
    <n v="0.39733725015769894"/>
    <n v="13"/>
    <n v="6"/>
    <n v="0.46153846153846156"/>
    <x v="2"/>
  </r>
  <r>
    <x v="7"/>
    <s v="(s)"/>
    <n v="6.94"/>
    <n v="0.16200000000000001"/>
    <n v="0.26308443824145156"/>
    <n v="0.66375545851528384"/>
    <n v="0.4634199483783677"/>
    <n v="19"/>
    <n v="9"/>
    <n v="0.47368421052631576"/>
    <x v="2"/>
  </r>
  <r>
    <x v="7"/>
    <s v="(s) Geoffrey Rees"/>
    <n v="5"/>
    <n v="0.122"/>
    <n v="0.12770411723656666"/>
    <n v="0.83842794759825323"/>
    <n v="0.48306603241740997"/>
    <n v="9"/>
    <n v="8"/>
    <n v="0.88888888888888884"/>
    <x v="2"/>
  </r>
  <r>
    <x v="7"/>
    <s v="(s)"/>
    <n v="10.83"/>
    <n v="0.13700000000000001"/>
    <n v="0.53454291695743195"/>
    <n v="0.77292576419213965"/>
    <n v="0.65373434057478574"/>
    <n v="12"/>
    <n v="11"/>
    <n v="0.91666666666666663"/>
    <x v="2"/>
  </r>
  <r>
    <x v="8"/>
    <s v="(s)"/>
    <n v="5.28"/>
    <n v="0.29399999999999998"/>
    <n v="0.14724354501046757"/>
    <n v="8.7336244541484809E-2"/>
    <n v="0.11728989477597619"/>
    <n v="19"/>
    <n v="11"/>
    <n v="0.57894736842105265"/>
    <x v="3"/>
  </r>
  <r>
    <x v="8"/>
    <s v="(s)"/>
    <n v="4.72"/>
    <n v="0.25800000000000001"/>
    <n v="0.10816468946266572"/>
    <n v="0.24454148471615722"/>
    <n v="0.17635308708941147"/>
    <n v="17"/>
    <n v="9"/>
    <n v="0.52941176470588236"/>
    <x v="3"/>
  </r>
  <r>
    <x v="8"/>
    <s v="(s)"/>
    <n v="4.83"/>
    <n v="0.23499999999999999"/>
    <n v="0.11584089323098395"/>
    <n v="0.34497816593886477"/>
    <n v="0.23040952958492436"/>
    <n v="19"/>
    <n v="15"/>
    <n v="0.78947368421052633"/>
    <x v="3"/>
  </r>
  <r>
    <x v="8"/>
    <s v="(s) Lokchun Law"/>
    <n v="6.67"/>
    <n v="0.219"/>
    <n v="0.24424284717376135"/>
    <n v="0.41484716157205237"/>
    <n v="0.32954500437290685"/>
    <n v="14"/>
    <n v="7"/>
    <n v="0.5"/>
    <x v="3"/>
  </r>
  <r>
    <x v="8"/>
    <s v="(s)  Magnus Ferguson"/>
    <n v="8.2100000000000009"/>
    <n v="0.24299999999999999"/>
    <n v="0.35170969993021639"/>
    <n v="0.3100436681222708"/>
    <n v="0.33087668402624359"/>
    <n v="16"/>
    <n v="7"/>
    <n v="0.4375"/>
    <x v="3"/>
  </r>
  <r>
    <x v="8"/>
    <s v="(s) David Mettens"/>
    <n v="4.6399999999999997"/>
    <n v="0.183"/>
    <n v="0.10258199581297975"/>
    <n v="0.57205240174672489"/>
    <n v="0.33731719877985233"/>
    <n v="15"/>
    <n v="8"/>
    <n v="0.53333333333333333"/>
    <x v="3"/>
  </r>
  <r>
    <x v="8"/>
    <s v="(s) Malynne Sternstein"/>
    <n v="7.5"/>
    <n v="0.22600000000000001"/>
    <n v="0.30216329378925333"/>
    <n v="0.38427947598253265"/>
    <n v="0.34322138488589299"/>
    <n v="18"/>
    <n v="8"/>
    <n v="0.44444444444444442"/>
    <x v="3"/>
  </r>
  <r>
    <x v="8"/>
    <s v="(s) Adam Flowers"/>
    <n v="5.5"/>
    <n v="0.17799999999999999"/>
    <n v="0.16259595254710399"/>
    <n v="0.59388646288209612"/>
    <n v="0.37824120771460007"/>
    <n v="11"/>
    <n v="7"/>
    <n v="0.63636363636363635"/>
    <x v="3"/>
  </r>
  <r>
    <x v="8"/>
    <s v="(s)"/>
    <n v="6.39"/>
    <n v="0.187"/>
    <n v="0.22470341939986041"/>
    <n v="0.55458515283842802"/>
    <n v="0.3896442861191442"/>
    <n v="17"/>
    <n v="9"/>
    <n v="0.52941176470588236"/>
    <x v="3"/>
  </r>
  <r>
    <x v="8"/>
    <s v="(s) Melina Garibovic"/>
    <n v="3.93"/>
    <n v="0.14599999999999999"/>
    <n v="5.3035589672016763E-2"/>
    <n v="0.73362445414847166"/>
    <n v="0.39333002191024419"/>
    <n v="19"/>
    <n v="14"/>
    <n v="0.73684210526315785"/>
    <x v="3"/>
  </r>
  <r>
    <x v="8"/>
    <s v="(s) Kevin King"/>
    <n v="7.92"/>
    <n v="0.20100000000000001"/>
    <n v="0.33147243545010469"/>
    <n v="0.49344978165938858"/>
    <n v="0.4124611085547466"/>
    <n v="19"/>
    <n v="12"/>
    <n v="0.63157894736842102"/>
    <x v="3"/>
  </r>
  <r>
    <x v="8"/>
    <s v="(s) Megan Tusler"/>
    <n v="6.5"/>
    <n v="0.17199999999999999"/>
    <n v="0.23237962316817865"/>
    <n v="0.6200873362445416"/>
    <n v="0.42623347970636011"/>
    <n v="13"/>
    <n v="5"/>
    <n v="0.38461538461538464"/>
    <x v="3"/>
  </r>
  <r>
    <x v="8"/>
    <s v="(s)"/>
    <n v="10.83"/>
    <n v="0.219"/>
    <n v="0.53454291695743195"/>
    <n v="0.41484716157205237"/>
    <n v="0.47469503926474216"/>
    <n v="19"/>
    <n v="4"/>
    <n v="0.21052631578947367"/>
    <x v="3"/>
  </r>
  <r>
    <x v="8"/>
    <s v="(s)"/>
    <n v="8.17"/>
    <n v="0.16"/>
    <n v="0.34891835310537334"/>
    <n v="0.67248908296943233"/>
    <n v="0.51070371803740278"/>
    <n v="19"/>
    <n v="15"/>
    <n v="0.78947368421052633"/>
    <x v="3"/>
  </r>
  <r>
    <x v="8"/>
    <s v="(s)  Armando Maggi"/>
    <n v="7.5"/>
    <n v="0.14199999999999999"/>
    <n v="0.30216329378925333"/>
    <n v="0.75109170305676864"/>
    <n v="0.52662749842301104"/>
    <n v="8"/>
    <n v="5"/>
    <n v="0.625"/>
    <x v="3"/>
  </r>
  <r>
    <x v="8"/>
    <s v="(s) Rocco Rubini"/>
    <n v="9.5"/>
    <n v="0.17299999999999999"/>
    <n v="0.44173063503140264"/>
    <n v="0.61572052401746724"/>
    <n v="0.528725579524435"/>
    <n v="9"/>
    <n v="6"/>
    <n v="0.66666666666666663"/>
    <x v="3"/>
  </r>
  <r>
    <x v="8"/>
    <s v="(s)"/>
    <n v="12.5"/>
    <n v="0.216"/>
    <n v="0.65108164689462666"/>
    <n v="0.427947598253275"/>
    <n v="0.53951462257395089"/>
    <n v="19"/>
    <n v="13"/>
    <n v="0.68421052631578949"/>
    <x v="3"/>
  </r>
  <r>
    <x v="9"/>
    <s v="(s)"/>
    <n v="4.5"/>
    <n v="0.29299999999999998"/>
    <n v="9.2812281926029319E-2"/>
    <n v="9.1703056768559055E-2"/>
    <n v="9.225766934729418E-2"/>
    <n v="16"/>
    <n v="11"/>
    <n v="0.6875"/>
    <x v="3"/>
  </r>
  <r>
    <x v="9"/>
    <s v="(s) Martha T Roth"/>
    <n v="4.17"/>
    <n v="0.27800000000000002"/>
    <n v="6.978367062107467E-2"/>
    <n v="0.15720524017467241"/>
    <n v="0.11349445539787353"/>
    <n v="19"/>
    <n v="10"/>
    <n v="0.52631578947368418"/>
    <x v="3"/>
  </r>
  <r>
    <x v="9"/>
    <s v="(s) Stephen Haswell Todd"/>
    <n v="5.36"/>
    <n v="0.24099999999999999"/>
    <n v="0.15282623866015355"/>
    <n v="0.31877729257641929"/>
    <n v="0.23580176561828642"/>
    <n v="15"/>
    <n v="7"/>
    <n v="0.46666666666666667"/>
    <x v="3"/>
  </r>
  <r>
    <x v="9"/>
    <s v="(s) Elisabeth Wilhelm"/>
    <n v="4.6399999999999997"/>
    <n v="0.222"/>
    <n v="0.10258199581297975"/>
    <n v="0.40174672489082963"/>
    <n v="0.2521643603519047"/>
    <n v="19"/>
    <n v="14"/>
    <n v="0.73684210526315785"/>
    <x v="3"/>
  </r>
  <r>
    <x v="9"/>
    <s v="(s)"/>
    <n v="5.68"/>
    <n v="0.23799999999999999"/>
    <n v="0.1751570132588974"/>
    <n v="0.33187772925764203"/>
    <n v="0.25351737125826973"/>
    <n v="19"/>
    <n v="11"/>
    <n v="0.57894736842105265"/>
    <x v="3"/>
  </r>
  <r>
    <x v="9"/>
    <s v="(s) Gabriel Ellis"/>
    <n v="6.59"/>
    <n v="0.246"/>
    <n v="0.23866015352407535"/>
    <n v="0.29694323144104806"/>
    <n v="0.26780169248256169"/>
    <n v="19"/>
    <n v="11"/>
    <n v="0.57894736842105265"/>
    <x v="3"/>
  </r>
  <r>
    <x v="9"/>
    <s v="(s)"/>
    <n v="7.5"/>
    <n v="0.25800000000000001"/>
    <n v="0.30216329378925333"/>
    <n v="0.24454148471615722"/>
    <n v="0.27335238925270527"/>
    <n v="19"/>
    <n v="10"/>
    <n v="0.52631578947368418"/>
    <x v="3"/>
  </r>
  <r>
    <x v="9"/>
    <s v="(s) Stephen Haswell Todd"/>
    <n v="5"/>
    <n v="0.20599999999999999"/>
    <n v="0.12770411723656666"/>
    <n v="0.47161572052401746"/>
    <n v="0.29965991888029209"/>
    <n v="13"/>
    <n v="8"/>
    <n v="0.61538461538461542"/>
    <x v="3"/>
  </r>
  <r>
    <x v="9"/>
    <s v="(s) Itamar Francez"/>
    <n v="6.88"/>
    <n v="0.23499999999999999"/>
    <n v="0.25889741800418703"/>
    <n v="0.34497816593886477"/>
    <n v="0.30193779197152593"/>
    <n v="15"/>
    <n v="8"/>
    <n v="0.53333333333333333"/>
    <x v="3"/>
  </r>
  <r>
    <x v="9"/>
    <s v="(s)"/>
    <n v="4.5"/>
    <n v="0.188"/>
    <n v="9.2812281926029319E-2"/>
    <n v="0.55021834061135366"/>
    <n v="0.32151531126869148"/>
    <n v="19"/>
    <n v="10"/>
    <n v="0.52631578947368418"/>
    <x v="3"/>
  </r>
  <r>
    <x v="9"/>
    <s v="(s) Stephen Haswell Todd"/>
    <n v="5.36"/>
    <n v="0.19500000000000001"/>
    <n v="0.15282623866015355"/>
    <n v="0.51965065502183405"/>
    <n v="0.3362384468409938"/>
    <n v="19"/>
    <n v="14"/>
    <n v="0.73684210526315785"/>
    <x v="3"/>
  </r>
  <r>
    <x v="9"/>
    <s v="(s) Daniel Wyche"/>
    <n v="7.5"/>
    <n v="0.21099999999999999"/>
    <n v="0.30216329378925333"/>
    <n v="0.44978165938864623"/>
    <n v="0.37597247658894978"/>
    <n v="18"/>
    <n v="8"/>
    <n v="0.44444444444444442"/>
    <x v="3"/>
  </r>
  <r>
    <x v="9"/>
    <s v="(s) Dag Lindskog"/>
    <n v="5.83"/>
    <n v="0.183"/>
    <n v="0.18562456385205864"/>
    <n v="0.57205240174672489"/>
    <n v="0.37883848279939175"/>
    <n v="10"/>
    <n v="6"/>
    <n v="0.6"/>
    <x v="3"/>
  </r>
  <r>
    <x v="9"/>
    <s v="(s)"/>
    <n v="7.5"/>
    <n v="0.19700000000000001"/>
    <n v="0.30216329378925333"/>
    <n v="0.51091703056768556"/>
    <n v="0.40654016217846944"/>
    <n v="18"/>
    <n v="11"/>
    <n v="0.61111111111111116"/>
    <x v="3"/>
  </r>
  <r>
    <x v="9"/>
    <s v="(s) Magnus Ferguson"/>
    <n v="7.5"/>
    <n v="0.17699999999999999"/>
    <n v="0.30216329378925333"/>
    <n v="0.59825327510917026"/>
    <n v="0.45020828444921179"/>
    <n v="19"/>
    <n v="9"/>
    <n v="0.47368421052631576"/>
    <x v="3"/>
  </r>
  <r>
    <x v="9"/>
    <s v="(s) Sianne Ngai"/>
    <n v="7.05"/>
    <n v="0.16200000000000001"/>
    <n v="0.27076064200976968"/>
    <n v="0.66375545851528384"/>
    <n v="0.46725805026252676"/>
    <n v="18"/>
    <n v="11"/>
    <n v="0.61111111111111116"/>
    <x v="3"/>
  </r>
  <r>
    <x v="9"/>
    <s v="(s)"/>
    <n v="8.2899999999999991"/>
    <n v="0.17299999999999999"/>
    <n v="0.35729239357990222"/>
    <n v="0.61572052401746724"/>
    <n v="0.4865064587986847"/>
    <n v="19"/>
    <n v="19"/>
    <n v="1"/>
    <x v="3"/>
  </r>
  <r>
    <x v="10"/>
    <s v="(s)"/>
    <n v="6.25"/>
    <n v="0.251"/>
    <n v="0.21493370551290999"/>
    <n v="0.27510917030567683"/>
    <n v="0.24502143790929343"/>
    <n v="19"/>
    <n v="12"/>
    <n v="0.63157894736842102"/>
    <x v="3"/>
  </r>
  <r>
    <x v="10"/>
    <s v="(s)"/>
    <n v="6"/>
    <n v="0.188"/>
    <n v="0.19748778785764132"/>
    <n v="0.55021834061135366"/>
    <n v="0.37385306423449749"/>
    <n v="18"/>
    <n v="10"/>
    <n v="0.55555555555555558"/>
    <x v="3"/>
  </r>
  <r>
    <x v="10"/>
    <s v="(s)"/>
    <n v="3.21"/>
    <n v="0.13400000000000001"/>
    <n v="2.7913468248429892E-3"/>
    <n v="0.78602620087336239"/>
    <n v="0.39440877384910267"/>
    <n v="18"/>
    <n v="7"/>
    <n v="0.3888888888888889"/>
    <x v="3"/>
  </r>
  <r>
    <x v="10"/>
    <s v="(s) Herve Reculeau"/>
    <n v="12.5"/>
    <n v="0.19500000000000001"/>
    <n v="0.65108164689462666"/>
    <n v="0.51965065502183405"/>
    <n v="0.58536615095823041"/>
    <n v="12"/>
    <n v="8"/>
    <n v="0.66666666666666663"/>
    <x v="3"/>
  </r>
  <r>
    <x v="11"/>
    <s v="(s) Stephen Haswell Todd"/>
    <n v="6.39"/>
    <n v="0.27800000000000002"/>
    <n v="0.22470341939986041"/>
    <n v="0.15720524017467241"/>
    <n v="0.1909543297872664"/>
    <n v="18"/>
    <n v="9"/>
    <n v="0.5"/>
    <x v="4"/>
  </r>
  <r>
    <x v="11"/>
    <s v="(s)"/>
    <n v="6.83"/>
    <n v="0.245"/>
    <n v="0.25540823447313332"/>
    <n v="0.30131004366812231"/>
    <n v="0.27835913907062781"/>
    <n v="19"/>
    <n v="15"/>
    <n v="0.78947368421052633"/>
    <x v="4"/>
  </r>
  <r>
    <x v="11"/>
    <s v="(s)"/>
    <n v="4.7699999999999996"/>
    <n v="0.20599999999999999"/>
    <n v="0.11165387299371944"/>
    <n v="0.47161572052401746"/>
    <n v="0.29163479675886844"/>
    <n v="18"/>
    <n v="11"/>
    <n v="0.61111111111111116"/>
    <x v="4"/>
  </r>
  <r>
    <x v="11"/>
    <s v="(s)"/>
    <n v="5.83"/>
    <n v="0.222"/>
    <n v="0.18562456385205864"/>
    <n v="0.40174672489082963"/>
    <n v="0.29368564437144412"/>
    <n v="19"/>
    <n v="12"/>
    <n v="0.63157894736842102"/>
    <x v="4"/>
  </r>
  <r>
    <x v="11"/>
    <s v="(s) Stephen Haswell Todd"/>
    <n v="6.79"/>
    <n v="0.219"/>
    <n v="0.25261688764829032"/>
    <n v="0.41484716157205237"/>
    <n v="0.33373202461017137"/>
    <n v="14"/>
    <n v="7"/>
    <n v="0.5"/>
    <x v="4"/>
  </r>
  <r>
    <x v="11"/>
    <s v="(s)"/>
    <n v="6.83"/>
    <n v="0.20399999999999999"/>
    <n v="0.25540823447313332"/>
    <n v="0.48034934497816595"/>
    <n v="0.36787878972564964"/>
    <n v="18"/>
    <n v="15"/>
    <n v="0.83333333333333337"/>
    <x v="4"/>
  </r>
  <r>
    <x v="11"/>
    <s v="(s)"/>
    <n v="8.5"/>
    <n v="0.22800000000000001"/>
    <n v="0.37194696441032798"/>
    <n v="0.37554585152838416"/>
    <n v="0.3737464079693561"/>
    <n v="18"/>
    <n v="16"/>
    <n v="0.88888888888888884"/>
    <x v="4"/>
  </r>
  <r>
    <x v="11"/>
    <s v="(s) Geoffrey Rees"/>
    <n v="5.83"/>
    <n v="0.183"/>
    <n v="0.18562456385205864"/>
    <n v="0.57205240174672489"/>
    <n v="0.37883848279939175"/>
    <n v="12"/>
    <n v="10"/>
    <n v="0.83333333333333337"/>
    <x v="4"/>
  </r>
  <r>
    <x v="11"/>
    <s v="(s) Magnus Ferguson"/>
    <n v="7.14"/>
    <n v="0.2"/>
    <n v="0.27704117236566639"/>
    <n v="0.49781659388646282"/>
    <n v="0.3874288831260646"/>
    <n v="19"/>
    <n v="14"/>
    <n v="0.73684210526315785"/>
    <x v="4"/>
  </r>
  <r>
    <x v="11"/>
    <s v="(s) Nicholas Longworth"/>
    <n v="9.5"/>
    <n v="0.21099999999999999"/>
    <n v="0.44173063503140264"/>
    <n v="0.44978165938864623"/>
    <n v="0.44575614721002443"/>
    <n v="19"/>
    <n v="13"/>
    <n v="0.68421052631578949"/>
    <x v="4"/>
  </r>
  <r>
    <x v="11"/>
    <s v="(s) Supurna Dasgupta"/>
    <n v="12"/>
    <n v="0.20599999999999999"/>
    <n v="0.61618981158408936"/>
    <n v="0.47161572052401746"/>
    <n v="0.54390276605405341"/>
    <n v="12"/>
    <n v="11"/>
    <n v="0.91666666666666663"/>
    <x v="4"/>
  </r>
  <r>
    <x v="12"/>
    <s v="(s) Kevin King"/>
    <n v="6.59"/>
    <n v="0.314"/>
    <n v="0.23866015352407535"/>
    <n v="0"/>
    <n v="0.11933007676203768"/>
    <n v="19"/>
    <n v="12"/>
    <n v="0.63157894736842102"/>
    <x v="4"/>
  </r>
  <r>
    <x v="12"/>
    <s v="(s)"/>
    <n v="6.79"/>
    <n v="0.28199999999999997"/>
    <n v="0.25261688764829032"/>
    <n v="0.13973799126637565"/>
    <n v="0.19617743945733299"/>
    <n v="16"/>
    <n v="7"/>
    <n v="0.4375"/>
    <x v="4"/>
  </r>
  <r>
    <x v="12"/>
    <s v="(s)  Gabriel Ellis"/>
    <n v="5.28"/>
    <n v="0.23400000000000001"/>
    <n v="0.14724354501046757"/>
    <n v="0.34934497816593868"/>
    <n v="0.24829426158820311"/>
    <n v="14"/>
    <n v="10"/>
    <n v="0.7142857142857143"/>
    <x v="4"/>
  </r>
  <r>
    <x v="12"/>
    <s v="(s) Lee Hoffer"/>
    <n v="5.36"/>
    <n v="0.22900000000000001"/>
    <n v="0.15282623866015355"/>
    <n v="0.37117903930130991"/>
    <n v="0.26200263898073173"/>
    <n v="11"/>
    <n v="7"/>
    <n v="0.63636363636363635"/>
    <x v="4"/>
  </r>
  <r>
    <x v="12"/>
    <s v="(s) Joseph Stadolnik"/>
    <n v="6.88"/>
    <n v="0.215"/>
    <n v="0.25889741800418703"/>
    <n v="0.43231441048034924"/>
    <n v="0.34560591424226816"/>
    <n v="15"/>
    <n v="8"/>
    <n v="0.53333333333333333"/>
    <x v="4"/>
  </r>
  <r>
    <x v="12"/>
    <s v="(s)"/>
    <n v="6.59"/>
    <n v="0.19900000000000001"/>
    <n v="0.23866015352407535"/>
    <n v="0.50218340611353707"/>
    <n v="0.3704217798188062"/>
    <n v="19"/>
    <n v="11"/>
    <n v="0.57894736842105265"/>
    <x v="4"/>
  </r>
  <r>
    <x v="12"/>
    <s v="(s) Geoffrey Rees"/>
    <n v="5.83"/>
    <n v="0.183"/>
    <n v="0.18562456385205864"/>
    <n v="0.57205240174672489"/>
    <n v="0.37883848279939175"/>
    <n v="10"/>
    <n v="6"/>
    <n v="0.6"/>
    <x v="4"/>
  </r>
  <r>
    <x v="12"/>
    <s v="(s)"/>
    <n v="4.04"/>
    <n v="8.5000000000000006E-2"/>
    <n v="6.071179344033497E-2"/>
    <n v="1"/>
    <n v="0.53035589672016747"/>
    <n v="19"/>
    <n v="13"/>
    <n v="0.68421052631578949"/>
    <x v="4"/>
  </r>
  <r>
    <x v="13"/>
    <s v="(s) Whitney Cox"/>
    <n v="10"/>
    <n v="0.22900000000000001"/>
    <n v="0.47662247034194"/>
    <n v="0.37117903930130991"/>
    <n v="0.42390075482162493"/>
    <n v="13"/>
    <n v="4"/>
    <n v="0.30769230769230771"/>
    <x v="4"/>
  </r>
  <r>
    <x v="13"/>
    <s v="(s) Rebeca Velasquez"/>
    <n v="8"/>
    <n v="0.19700000000000001"/>
    <n v="0.33705512909979063"/>
    <n v="0.51091703056768556"/>
    <n v="0.42398607983373809"/>
    <n v="19"/>
    <n v="10"/>
    <n v="0.52631578947368418"/>
    <x v="4"/>
  </r>
  <r>
    <x v="13"/>
    <s v="(s)"/>
    <n v="8.93"/>
    <n v="0.193"/>
    <n v="0.40195394277739005"/>
    <n v="0.52838427947598254"/>
    <n v="0.4651691111266863"/>
    <n v="18"/>
    <n v="10"/>
    <n v="0.55555555555555558"/>
    <x v="4"/>
  </r>
  <r>
    <x v="14"/>
    <s v="(s) Haitham Ibrahim"/>
    <n v="6.59"/>
    <n v="0.27700000000000002"/>
    <n v="0.23866015352407535"/>
    <n v="0.16157205240174666"/>
    <n v="0.20011610296291099"/>
    <n v="19"/>
    <n v="13"/>
    <n v="0.68421052631578949"/>
    <x v="4"/>
  </r>
  <r>
    <x v="15"/>
    <s v="(s)"/>
    <n v="4.5"/>
    <n v="0.23499999999999999"/>
    <n v="9.2812281926029319E-2"/>
    <n v="0.34497816593886477"/>
    <n v="0.21889522393244704"/>
    <n v="17"/>
    <n v="12"/>
    <n v="0.70588235294117652"/>
    <x v="5"/>
  </r>
  <r>
    <x v="15"/>
    <s v="(s)"/>
    <n v="3.75"/>
    <n v="0.23799999999999999"/>
    <n v="4.0474528960223313E-2"/>
    <n v="0.33187772925764203"/>
    <n v="0.18617612910893266"/>
    <n v="8"/>
    <n v="4"/>
    <n v="0.5"/>
    <x v="5"/>
  </r>
  <r>
    <x v="15"/>
    <s v="(s)"/>
    <n v="7.12"/>
    <n v="0.22700000000000001"/>
    <n v="0.27564549895324497"/>
    <n v="0.3799126637554584"/>
    <n v="0.32777908135435169"/>
    <n v="18"/>
    <n v="13"/>
    <n v="0.72222222222222221"/>
    <x v="5"/>
  </r>
  <r>
    <x v="15"/>
    <s v="(s)"/>
    <n v="5.83"/>
    <n v="0.22600000000000001"/>
    <n v="0.18562456385205864"/>
    <n v="0.38427947598253265"/>
    <n v="0.28495201991729563"/>
    <n v="18"/>
    <n v="15"/>
    <n v="0.83333333333333337"/>
    <x v="5"/>
  </r>
  <r>
    <x v="15"/>
    <s v="(s)"/>
    <n v="4.38"/>
    <n v="0.191"/>
    <n v="8.4438241451500348E-2"/>
    <n v="0.53711790393013104"/>
    <n v="0.3107780726908157"/>
    <n v="18"/>
    <n v="9"/>
    <n v="0.5"/>
    <x v="5"/>
  </r>
  <r>
    <x v="15"/>
    <s v="(s) Pauline Goul"/>
    <n v="5.28"/>
    <n v="0.20300000000000001"/>
    <n v="0.14724354501046757"/>
    <n v="0.48471615720524008"/>
    <n v="0.31597985110785382"/>
    <n v="15"/>
    <n v="10"/>
    <n v="0.66666666666666663"/>
    <x v="5"/>
  </r>
  <r>
    <x v="15"/>
    <s v="(s)"/>
    <n v="5.36"/>
    <n v="0.20200000000000001"/>
    <n v="0.15282623866015355"/>
    <n v="0.48908296943231433"/>
    <n v="0.32095460404623394"/>
    <n v="19"/>
    <n v="8"/>
    <n v="0.42105263157894735"/>
    <x v="5"/>
  </r>
  <r>
    <x v="15"/>
    <s v="(s)"/>
    <n v="6.67"/>
    <n v="0.21199999999999999"/>
    <n v="0.24424284717376135"/>
    <n v="0.44541484716157198"/>
    <n v="0.34482884716766665"/>
    <n v="19"/>
    <n v="12"/>
    <n v="0.63157894736842102"/>
    <x v="5"/>
  </r>
  <r>
    <x v="15"/>
    <s v="(s)"/>
    <n v="5.62"/>
    <n v="0.184"/>
    <n v="0.17096999302163296"/>
    <n v="0.56768558951965065"/>
    <n v="0.3693277912706418"/>
    <n v="17"/>
    <n v="8"/>
    <n v="0.47058823529411764"/>
    <x v="5"/>
  </r>
  <r>
    <x v="15"/>
    <s v="(s) HsinYuan Peng"/>
    <n v="6.03"/>
    <n v="0.187"/>
    <n v="0.19958129797627358"/>
    <n v="0.55458515283842802"/>
    <n v="0.37708322540735079"/>
    <n v="19"/>
    <n v="18"/>
    <n v="0.94736842105263153"/>
    <x v="5"/>
  </r>
  <r>
    <x v="15"/>
    <s v="(s) Kimberly Kenny"/>
    <n v="8.1"/>
    <n v="0.219"/>
    <n v="0.3440334961618981"/>
    <n v="0.41484716157205237"/>
    <n v="0.37944032886697521"/>
    <n v="15"/>
    <n v="7"/>
    <n v="0.46666666666666667"/>
    <x v="5"/>
  </r>
  <r>
    <x v="15"/>
    <s v="(s)"/>
    <n v="8.2200000000000006"/>
    <n v="0.22"/>
    <n v="0.3524075366364271"/>
    <n v="0.41048034934497812"/>
    <n v="0.38144394299070261"/>
    <n v="19"/>
    <n v="12"/>
    <n v="0.63157894736842102"/>
    <x v="5"/>
  </r>
  <r>
    <x v="15"/>
    <s v="(s) Ariel Fox"/>
    <n v="7.21"/>
    <n v="0.19800000000000001"/>
    <n v="0.28192602930914168"/>
    <n v="0.50655021834061131"/>
    <n v="0.3942381238248765"/>
    <n v="13"/>
    <n v="7"/>
    <n v="0.53846153846153844"/>
    <x v="5"/>
  </r>
  <r>
    <x v="15"/>
    <s v="(s) Haitham Ibrahim"/>
    <n v="6.33"/>
    <n v="0.185"/>
    <n v="0.22051639916259597"/>
    <n v="0.5633187772925764"/>
    <n v="0.39191758822758616"/>
    <n v="19"/>
    <n v="18"/>
    <n v="0.94736842105263153"/>
    <x v="5"/>
  </r>
  <r>
    <x v="15"/>
    <s v="(s)"/>
    <n v="7"/>
    <n v="0.188"/>
    <n v="0.26727145847871597"/>
    <n v="0.55021834061135366"/>
    <n v="0.40874489954503479"/>
    <n v="19"/>
    <n v="7"/>
    <n v="0.36842105263157893"/>
    <x v="5"/>
  </r>
  <r>
    <x v="16"/>
    <s v="(s)"/>
    <n v="3.61"/>
    <n v="0.26"/>
    <n v="3.0704815073272849E-2"/>
    <n v="0.23580786026200873"/>
    <n v="0.13325633766764078"/>
    <n v="19"/>
    <n v="17"/>
    <n v="0.89473684210526316"/>
    <x v="5"/>
  </r>
  <r>
    <x v="16"/>
    <s v="(s)"/>
    <n v="3.93"/>
    <n v="0.26"/>
    <n v="5.3035589672016763E-2"/>
    <n v="0.23580786026200873"/>
    <n v="0.14442172496701275"/>
    <n v="19"/>
    <n v="15"/>
    <n v="0.78947368421052633"/>
    <x v="5"/>
  </r>
  <r>
    <x v="16"/>
    <s v="(s) Martha T Roth"/>
    <n v="8.61"/>
    <n v="0.255"/>
    <n v="0.37962316817864616"/>
    <n v="0.25764192139737996"/>
    <n v="0.31863254478801306"/>
    <n v="17"/>
    <n v="10"/>
    <n v="0.58823529411764708"/>
    <x v="5"/>
  </r>
  <r>
    <x v="16"/>
    <s v="(s)"/>
    <n v="6.5"/>
    <n v="0.23400000000000001"/>
    <n v="0.23237962316817865"/>
    <n v="0.34934497816593868"/>
    <n v="0.29086230066705865"/>
    <n v="19"/>
    <n v="10"/>
    <n v="0.52631578947368418"/>
    <x v="5"/>
  </r>
  <r>
    <x v="16"/>
    <s v="(s) Elisabeth Wilhelm"/>
    <n v="6.07"/>
    <n v="0.21199999999999999"/>
    <n v="0.20237264480111655"/>
    <n v="0.44541484716157198"/>
    <n v="0.32389374598134424"/>
    <n v="19"/>
    <n v="14"/>
    <n v="0.73684210526315785"/>
    <x v="5"/>
  </r>
  <r>
    <x v="16"/>
    <s v="(s)"/>
    <n v="7.5"/>
    <n v="0.23100000000000001"/>
    <n v="0.30216329378925333"/>
    <n v="0.36244541484716142"/>
    <n v="0.33230435431820737"/>
    <n v="19"/>
    <n v="9"/>
    <n v="0.47368421052631576"/>
    <x v="5"/>
  </r>
  <r>
    <x v="16"/>
    <s v="(s)"/>
    <n v="8.73"/>
    <n v="0.215"/>
    <n v="0.38799720865317516"/>
    <n v="0.43231441048034924"/>
    <n v="0.41015580956676223"/>
    <n v="19"/>
    <n v="15"/>
    <n v="0.78947368421052633"/>
    <x v="5"/>
  </r>
  <r>
    <x v="16"/>
    <s v="(s)"/>
    <n v="8.41"/>
    <n v="0.214"/>
    <n v="0.36566643405443128"/>
    <n v="0.43668122270742349"/>
    <n v="0.40117382838092741"/>
    <n v="18"/>
    <n v="14"/>
    <n v="0.77777777777777779"/>
    <x v="5"/>
  </r>
  <r>
    <x v="16"/>
    <s v="(s)"/>
    <n v="5.28"/>
    <n v="0.182"/>
    <n v="0.14724354501046757"/>
    <n v="0.57641921397379914"/>
    <n v="0.36183137949213334"/>
    <n v="18"/>
    <n v="9"/>
    <n v="0.5"/>
    <x v="5"/>
  </r>
  <r>
    <x v="16"/>
    <s v="(s)"/>
    <n v="6.5"/>
    <n v="0.20599999999999999"/>
    <n v="0.23237962316817865"/>
    <n v="0.47161572052401746"/>
    <n v="0.35199767184609804"/>
    <n v="17"/>
    <n v="8"/>
    <n v="0.47058823529411764"/>
    <x v="5"/>
  </r>
  <r>
    <x v="16"/>
    <s v="(s) Robert Marineau"/>
    <n v="5.36"/>
    <n v="0.158"/>
    <n v="0.15282623866015355"/>
    <n v="0.68122270742358082"/>
    <n v="0.41702447304186718"/>
    <n v="14"/>
    <n v="7"/>
    <n v="0.5"/>
    <x v="5"/>
  </r>
  <r>
    <x v="16"/>
    <s v="(s) David Wray"/>
    <n v="5"/>
    <n v="0.14000000000000001"/>
    <n v="0.12770411723656666"/>
    <n v="0.75982532751091703"/>
    <n v="0.44376472237374187"/>
    <n v="14"/>
    <n v="8"/>
    <n v="0.5714285714285714"/>
    <x v="5"/>
  </r>
  <r>
    <x v="16"/>
    <s v="(s) Haitham Ibrahim"/>
    <n v="7.5"/>
    <n v="0.186"/>
    <n v="0.30216329378925333"/>
    <n v="0.55895196506550215"/>
    <n v="0.43055762942737774"/>
    <n v="19"/>
    <n v="16"/>
    <n v="0.84210526315789469"/>
    <x v="5"/>
  </r>
  <r>
    <x v="16"/>
    <s v="(s) Sophie Salvo"/>
    <n v="6.25"/>
    <n v="0.14499999999999999"/>
    <n v="0.21493370551290999"/>
    <n v="0.73799126637554591"/>
    <n v="0.47646248594422796"/>
    <n v="12"/>
    <n v="8"/>
    <n v="0.66666666666666663"/>
    <x v="5"/>
  </r>
  <r>
    <x v="17"/>
    <s v="(s)  David Finkelstein"/>
    <n v="5.28"/>
    <n v="0.214"/>
    <n v="0.14724354501046757"/>
    <n v="0.43668122270742349"/>
    <n v="0.29196238385894552"/>
    <n v="14"/>
    <n v="9"/>
    <n v="0.6428571428571429"/>
    <x v="5"/>
  </r>
  <r>
    <x v="17"/>
    <s v="(s)"/>
    <n v="6.62"/>
    <n v="0.185"/>
    <n v="0.24075366364270762"/>
    <n v="0.5633187772925764"/>
    <n v="0.40203622046764198"/>
    <n v="18"/>
    <n v="17"/>
    <n v="0.94444444444444442"/>
    <x v="5"/>
  </r>
  <r>
    <x v="17"/>
    <s v="(s) Valerie Levan"/>
    <n v="7.75"/>
    <n v="0.20300000000000001"/>
    <n v="0.31960921144452198"/>
    <n v="0.48471615720524008"/>
    <n v="0.402162684324881"/>
    <n v="17"/>
    <n v="8"/>
    <n v="0.47058823529411764"/>
    <x v="5"/>
  </r>
  <r>
    <x v="18"/>
    <s v="(s)"/>
    <n v="7.5"/>
    <n v="0.249"/>
    <n v="0.30216329378925333"/>
    <n v="0.28384279475982532"/>
    <n v="0.29300304427453933"/>
    <n v="17"/>
    <n v="8"/>
    <n v="0.47058823529411764"/>
    <x v="6"/>
  </r>
  <r>
    <x v="18"/>
    <s v="(s) Nicholas Longworth"/>
    <n v="6.07"/>
    <n v="0.20599999999999999"/>
    <n v="0.20237264480111655"/>
    <n v="0.47161572052401746"/>
    <n v="0.33699418266256698"/>
    <n v="18"/>
    <n v="14"/>
    <n v="0.77777777777777779"/>
    <x v="6"/>
  </r>
  <r>
    <x v="18"/>
    <s v="(s)"/>
    <n v="9.69"/>
    <n v="0.25700000000000001"/>
    <n v="0.45498953244940682"/>
    <n v="0.24890829694323147"/>
    <n v="0.35194891469631917"/>
    <n v="16"/>
    <n v="16"/>
    <n v="1"/>
    <x v="6"/>
  </r>
  <r>
    <x v="18"/>
    <s v="(s) Paola Iovene"/>
    <n v="6.07"/>
    <n v="0.189"/>
    <n v="0.20237264480111655"/>
    <n v="0.54585152838427953"/>
    <n v="0.37411208659269801"/>
    <n v="14"/>
    <n v="7"/>
    <n v="0.5"/>
    <x v="6"/>
  </r>
  <r>
    <x v="18"/>
    <s v="(s) MeeJu Ro"/>
    <n v="5"/>
    <n v="0.16700000000000001"/>
    <n v="0.12770411723656666"/>
    <n v="0.64192139737991261"/>
    <n v="0.38481275730823961"/>
    <n v="18"/>
    <n v="10"/>
    <n v="0.55555555555555558"/>
    <x v="6"/>
  </r>
  <r>
    <x v="18"/>
    <s v="(s) Simon Friedland"/>
    <n v="6.94"/>
    <n v="0.17799999999999999"/>
    <n v="0.26308443824145156"/>
    <n v="0.59388646288209612"/>
    <n v="0.42848545056177384"/>
    <n v="11"/>
    <n v="9"/>
    <n v="0.81818181818181823"/>
    <x v="6"/>
  </r>
  <r>
    <x v="18"/>
    <s v="(s) Robert Marineau"/>
    <n v="9.58"/>
    <n v="0.19400000000000001"/>
    <n v="0.44731332868108864"/>
    <n v="0.52401746724890819"/>
    <n v="0.48566539796499841"/>
    <n v="15"/>
    <n v="12"/>
    <n v="0.8"/>
    <x v="6"/>
  </r>
  <r>
    <x v="18"/>
    <s v="(s)"/>
    <n v="6.88"/>
    <n v="0.15"/>
    <n v="0.25889741800418703"/>
    <n v="0.71615720524017468"/>
    <n v="0.48752731162218088"/>
    <n v="17"/>
    <n v="15"/>
    <n v="0.88235294117647056"/>
    <x v="6"/>
  </r>
  <r>
    <x v="19"/>
    <s v="(s) Adam Flowers"/>
    <n v="3.75"/>
    <n v="0.21"/>
    <n v="4.0474528960223313E-2"/>
    <n v="0.45414847161572058"/>
    <n v="0.24731150028797194"/>
    <n v="12"/>
    <n v="4"/>
    <n v="0.33333333333333331"/>
    <x v="6"/>
  </r>
  <r>
    <x v="19"/>
    <s v="(s)"/>
    <n v="4.8099999999999996"/>
    <n v="0.219"/>
    <n v="0.11444521981856243"/>
    <n v="0.41484716157205237"/>
    <n v="0.26464619069530737"/>
    <n v="18"/>
    <n v="13"/>
    <n v="0.72222222222222221"/>
    <x v="6"/>
  </r>
  <r>
    <x v="19"/>
    <s v="(s)"/>
    <n v="4.6900000000000004"/>
    <n v="0.189"/>
    <n v="0.10607117934403353"/>
    <n v="0.54585152838427953"/>
    <n v="0.32596135386415653"/>
    <n v="19"/>
    <n v="16"/>
    <n v="0.84210526315789469"/>
    <x v="6"/>
  </r>
  <r>
    <x v="19"/>
    <s v="(s) Gabriel Ellis"/>
    <n v="6"/>
    <n v="0.20599999999999999"/>
    <n v="0.19748778785764132"/>
    <n v="0.47161572052401746"/>
    <n v="0.33455175419082939"/>
    <n v="18"/>
    <n v="10"/>
    <n v="0.55555555555555558"/>
    <x v="6"/>
  </r>
  <r>
    <x v="19"/>
    <s v="(s) Emily Coit"/>
    <n v="5.62"/>
    <n v="0.19900000000000001"/>
    <n v="0.17096999302163296"/>
    <n v="0.50218340611353707"/>
    <n v="0.33657669956758501"/>
    <n v="14"/>
    <n v="8"/>
    <n v="0.5714285714285714"/>
    <x v="6"/>
  </r>
  <r>
    <x v="19"/>
    <s v="(s) Melina Garibovic"/>
    <n v="6.43"/>
    <n v="0.17599999999999999"/>
    <n v="0.22749476622470341"/>
    <n v="0.60262008733624461"/>
    <n v="0.41505742678047403"/>
    <n v="20"/>
    <n v="14"/>
    <n v="0.7"/>
    <x v="6"/>
  </r>
  <r>
    <x v="19"/>
    <s v="(s) Rocco Rubini"/>
    <n v="10"/>
    <n v="0.23100000000000001"/>
    <n v="0.47662247034194"/>
    <n v="0.36244541484716142"/>
    <n v="0.41953394259455068"/>
    <n v="16"/>
    <n v="8"/>
    <n v="0.5"/>
    <x v="6"/>
  </r>
  <r>
    <x v="19"/>
    <s v="(s)"/>
    <n v="6.88"/>
    <n v="0.16500000000000001"/>
    <n v="0.25889741800418703"/>
    <n v="0.6506550218340611"/>
    <n v="0.45477621991912409"/>
    <n v="19"/>
    <n v="14"/>
    <n v="0.73684210526315785"/>
    <x v="6"/>
  </r>
  <r>
    <x v="20"/>
    <s v="(s)"/>
    <n v="8.06"/>
    <n v="0.27500000000000002"/>
    <n v="0.34124214933705516"/>
    <n v="0.17030567685589515"/>
    <n v="0.25577391309647513"/>
    <n v="19"/>
    <n v="9"/>
    <n v="0.47368421052631576"/>
    <x v="6"/>
  </r>
  <r>
    <x v="21"/>
    <s v="(s)"/>
    <n v="3.17"/>
    <n v="0.23599999999999999"/>
    <n v="0"/>
    <n v="0.34061135371179052"/>
    <n v="0.17030567685589526"/>
    <n v="19"/>
    <n v="15"/>
    <n v="0.78947368421052633"/>
    <x v="7"/>
  </r>
  <r>
    <x v="21"/>
    <s v="(s) Ermioni Prokopaki"/>
    <n v="5.36"/>
    <n v="0.253"/>
    <n v="0.15282623866015355"/>
    <n v="0.26637554585152845"/>
    <n v="0.209600892255841"/>
    <n v="11"/>
    <n v="8"/>
    <n v="0.72727272727272729"/>
    <x v="7"/>
  </r>
  <r>
    <x v="21"/>
    <s v="(s)"/>
    <n v="5.42"/>
    <n v="0.24399999999999999"/>
    <n v="0.15701325889741799"/>
    <n v="0.30567685589519655"/>
    <n v="0.23134505739630729"/>
    <n v="19"/>
    <n v="14"/>
    <n v="0.73684210526315785"/>
    <x v="7"/>
  </r>
  <r>
    <x v="21"/>
    <s v="(s)"/>
    <n v="5.83"/>
    <n v="0.23499999999999999"/>
    <n v="0.18562456385205864"/>
    <n v="0.34497816593886477"/>
    <n v="0.26530136489546169"/>
    <n v="18"/>
    <n v="10"/>
    <n v="0.55555555555555558"/>
    <x v="7"/>
  </r>
  <r>
    <x v="21"/>
    <s v="(s)"/>
    <n v="5.28"/>
    <n v="0.22"/>
    <n v="0.14724354501046757"/>
    <n v="0.41048034934497812"/>
    <n v="0.27886194717772284"/>
    <n v="19"/>
    <n v="9"/>
    <n v="0.47368421052631576"/>
    <x v="7"/>
  </r>
  <r>
    <x v="21"/>
    <s v="(s)"/>
    <n v="6.73"/>
    <n v="0.22800000000000001"/>
    <n v="0.24842986741102585"/>
    <n v="0.37554585152838416"/>
    <n v="0.31198785946970498"/>
    <n v="18"/>
    <n v="13"/>
    <n v="0.72222222222222221"/>
    <x v="7"/>
  </r>
  <r>
    <x v="21"/>
    <s v="(s)"/>
    <n v="5.58"/>
    <n v="0.19500000000000001"/>
    <n v="0.16817864619678996"/>
    <n v="0.51965065502183405"/>
    <n v="0.34391465060931203"/>
    <n v="18"/>
    <n v="13"/>
    <n v="0.72222222222222221"/>
    <x v="7"/>
  </r>
  <r>
    <x v="21"/>
    <s v="(s) Haitham Ibrahim"/>
    <n v="5.5"/>
    <n v="0.183"/>
    <n v="0.16259595254710399"/>
    <n v="0.57205240174672489"/>
    <n v="0.36732417714691445"/>
    <n v="17"/>
    <n v="10"/>
    <n v="0.58823529411764708"/>
    <x v="7"/>
  </r>
  <r>
    <x v="21"/>
    <s v="(s) Hoyt Long"/>
    <n v="6.14"/>
    <n v="0.186"/>
    <n v="0.20725750174459176"/>
    <n v="0.55895196506550215"/>
    <n v="0.38310473340504697"/>
    <n v="18"/>
    <n v="11"/>
    <n v="0.61111111111111116"/>
    <x v="7"/>
  </r>
  <r>
    <x v="21"/>
    <s v="(s) Haitham Ibrahim"/>
    <n v="5.42"/>
    <n v="0.16400000000000001"/>
    <n v="0.15701325889741799"/>
    <n v="0.65502183406113534"/>
    <n v="0.40601754647927668"/>
    <n v="19"/>
    <n v="13"/>
    <n v="0.68421052631578949"/>
    <x v="7"/>
  </r>
  <r>
    <x v="21"/>
    <s v="(s)"/>
    <n v="6.79"/>
    <n v="0.16900000000000001"/>
    <n v="0.25261688764829032"/>
    <n v="0.63318777292576411"/>
    <n v="0.44290233028702719"/>
    <n v="19"/>
    <n v="16"/>
    <n v="0.84210526315789469"/>
    <x v="7"/>
  </r>
  <r>
    <x v="22"/>
    <s v="(s)"/>
    <n v="4.5"/>
    <n v="0.26500000000000001"/>
    <n v="9.2812281926029319E-2"/>
    <n v="0.2139737991266375"/>
    <n v="0.1533930405263334"/>
    <n v="14"/>
    <n v="5"/>
    <n v="0.35714285714285715"/>
    <x v="7"/>
  </r>
  <r>
    <x v="22"/>
    <s v="(s)"/>
    <n v="5.28"/>
    <n v="0.23200000000000001"/>
    <n v="0.14724354501046757"/>
    <n v="0.35807860262008717"/>
    <n v="0.25266107381527736"/>
    <n v="19"/>
    <n v="9"/>
    <n v="0.47368421052631576"/>
    <x v="7"/>
  </r>
  <r>
    <x v="22"/>
    <s v="(s)"/>
    <n v="4.32"/>
    <n v="0.20399999999999999"/>
    <n v="8.025122121423589E-2"/>
    <n v="0.48034934497816595"/>
    <n v="0.28030028309620092"/>
    <n v="19"/>
    <n v="11"/>
    <n v="0.57894736842105265"/>
    <x v="7"/>
  </r>
  <r>
    <x v="22"/>
    <s v="(s) Emily Austin"/>
    <n v="8.2100000000000009"/>
    <n v="0.25600000000000001"/>
    <n v="0.35170969993021639"/>
    <n v="0.25327510917030571"/>
    <n v="0.30249240455026105"/>
    <n v="12"/>
    <n v="7"/>
    <n v="0.58333333333333337"/>
    <x v="7"/>
  </r>
  <r>
    <x v="22"/>
    <s v="(s) Maria Anna Mariani"/>
    <n v="5"/>
    <n v="0.20100000000000001"/>
    <n v="0.12770411723656666"/>
    <n v="0.49344978165938858"/>
    <n v="0.31057694944797765"/>
    <n v="11"/>
    <n v="7"/>
    <n v="0.63636363636363635"/>
    <x v="7"/>
  </r>
  <r>
    <x v="22"/>
    <s v="(s)"/>
    <n v="5"/>
    <n v="0.19500000000000001"/>
    <n v="0.12770411723656666"/>
    <n v="0.51965065502183405"/>
    <n v="0.32367738612920038"/>
    <n v="19"/>
    <n v="10"/>
    <n v="0.52631578947368418"/>
    <x v="7"/>
  </r>
  <r>
    <x v="22"/>
    <s v="(s) Eduardo Le√£o"/>
    <n v="7.5"/>
    <n v="0.23200000000000001"/>
    <n v="0.30216329378925333"/>
    <n v="0.35807860262008717"/>
    <n v="0.33012094820467025"/>
    <n v="17"/>
    <n v="11"/>
    <n v="0.6470588235294118"/>
    <x v="7"/>
  </r>
  <r>
    <x v="22"/>
    <s v="(s) Lokchun Law"/>
    <n v="5"/>
    <n v="0.191"/>
    <n v="0.12770411723656666"/>
    <n v="0.53711790393013104"/>
    <n v="0.33241101058334888"/>
    <n v="15"/>
    <n v="8"/>
    <n v="0.53333333333333333"/>
    <x v="7"/>
  </r>
  <r>
    <x v="22"/>
    <s v="(s) Katherine Buse"/>
    <n v="4.6900000000000004"/>
    <n v="0.17899999999999999"/>
    <n v="0.10607117934403353"/>
    <n v="0.58951965065502188"/>
    <n v="0.34779541499952771"/>
    <n v="19"/>
    <n v="16"/>
    <n v="0.84210526315789469"/>
    <x v="7"/>
  </r>
  <r>
    <x v="22"/>
    <s v="(s) Daniel Wyche"/>
    <n v="6.07"/>
    <n v="0.2"/>
    <n v="0.20237264480111655"/>
    <n v="0.49781659388646282"/>
    <n v="0.35009461934378971"/>
    <n v="19"/>
    <n v="14"/>
    <n v="0.73684210526315785"/>
    <x v="7"/>
  </r>
  <r>
    <x v="22"/>
    <s v="(s)"/>
    <n v="10"/>
    <n v="0.17399999999999999"/>
    <n v="0.47662247034194"/>
    <n v="0.61135371179039311"/>
    <n v="0.54398809106616652"/>
    <n v="18"/>
    <n v="9"/>
    <n v="0.5"/>
    <x v="7"/>
  </r>
  <r>
    <x v="22"/>
    <s v="(s) Haitham Ibrahim"/>
    <n v="17.5"/>
    <n v="0.255"/>
    <n v="1"/>
    <n v="0.25764192139737996"/>
    <n v="0.62882096069868998"/>
    <n v="19"/>
    <n v="15"/>
    <n v="0.78947368421052633"/>
    <x v="7"/>
  </r>
  <r>
    <x v="23"/>
    <s v="(s) Rebeca Velasquez"/>
    <n v="5"/>
    <n v="0.22700000000000001"/>
    <n v="0.12770411723656666"/>
    <n v="0.3799126637554584"/>
    <n v="0.25380839049601256"/>
    <n v="18"/>
    <n v="10"/>
    <n v="0.55555555555555558"/>
    <x v="7"/>
  </r>
  <r>
    <x v="23"/>
    <s v="(s)  Joseph Stadolnik"/>
    <n v="5.5"/>
    <n v="0.17100000000000001"/>
    <n v="0.16259595254710399"/>
    <n v="0.62445414847161573"/>
    <n v="0.39352505050935987"/>
    <n v="9"/>
    <n v="5"/>
    <n v="0.55555555555555558"/>
    <x v="7"/>
  </r>
  <r>
    <x v="24"/>
    <m/>
    <m/>
    <m/>
    <m/>
    <m/>
    <m/>
    <n v="3606"/>
    <n v="2253"/>
    <m/>
    <x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069B4AC-C603-1449-906F-A509308D2710}" name="PivotTable9" cacheId="5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multipleFieldFilters="0">
  <location ref="A3:E29" firstHeaderRow="0" firstDataRow="1" firstDataCol="1"/>
  <pivotFields count="11">
    <pivotField axis="axisRow" showAll="0" sortType="ascending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  <autoSortScope>
        <pivotArea dataOnly="0" outline="0" fieldPosition="0">
          <references count="1">
            <reference field="4294967294" count="1" selected="0">
              <x v="3"/>
            </reference>
          </references>
        </pivotArea>
      </autoSortScope>
    </pivotField>
    <pivotField showAll="0"/>
    <pivotField dataField="1" showAll="0"/>
    <pivotField dataField="1" showAll="0"/>
    <pivotField dataField="1" showAll="0"/>
    <pivotField showAll="0"/>
    <pivotField dataField="1" showAll="0"/>
    <pivotField numFmtId="1" showAll="0"/>
    <pivotField numFmtId="1" showAll="0"/>
    <pivotField showAll="0"/>
    <pivotField showAll="0"/>
  </pivotFields>
  <rowFields count="1">
    <field x="0"/>
  </rowFields>
  <rowItems count="26">
    <i>
      <x v="24"/>
    </i>
    <i>
      <x v="14"/>
    </i>
    <i>
      <x v="20"/>
    </i>
    <i>
      <x v="5"/>
    </i>
    <i>
      <x v="12"/>
    </i>
    <i>
      <x v="21"/>
    </i>
    <i>
      <x v="9"/>
    </i>
    <i>
      <x v="1"/>
    </i>
    <i>
      <x/>
    </i>
    <i>
      <x v="23"/>
    </i>
    <i>
      <x v="4"/>
    </i>
    <i>
      <x v="15"/>
    </i>
    <i>
      <x v="3"/>
    </i>
    <i>
      <x v="16"/>
    </i>
    <i>
      <x v="22"/>
    </i>
    <i>
      <x v="19"/>
    </i>
    <i>
      <x v="11"/>
    </i>
    <i>
      <x v="6"/>
    </i>
    <i>
      <x v="17"/>
    </i>
    <i>
      <x v="7"/>
    </i>
    <i>
      <x v="8"/>
    </i>
    <i>
      <x v="18"/>
    </i>
    <i>
      <x v="10"/>
    </i>
    <i>
      <x v="2"/>
    </i>
    <i>
      <x v="13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um of Normalised Hours" fld="4" baseField="0" baseItem="0"/>
    <dataField name="Average of Avg Hours" fld="2" subtotal="average" baseField="0" baseItem="0"/>
    <dataField name="Average of Sentiment Score" fld="3" subtotal="average" baseField="0" baseItem="0"/>
    <dataField name="Average of Final Difficulty Score" fld="6" subtotal="average" baseField="0" baseItem="0"/>
  </dataFields>
  <formats count="1">
    <format dxfId="16">
      <pivotArea collapsedLevelsAreSubtotals="1" fieldPosition="0">
        <references count="1">
          <reference field="0" count="2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739533-FEF7-E341-A8C5-2A798566AEE4}" name="PivotTable12" cacheId="5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multipleFieldFilters="0">
  <location ref="A28:D38" firstHeaderRow="0" firstDataRow="1" firstDataCol="1"/>
  <pivotFields count="11">
    <pivotField showAll="0"/>
    <pivotField showAll="0"/>
    <pivotField dataField="1" showAll="0"/>
    <pivotField dataField="1" showAll="0"/>
    <pivotField showAll="0"/>
    <pivotField showAll="0"/>
    <pivotField dataField="1" showAll="0"/>
    <pivotField numFmtId="1" showAll="0"/>
    <pivotField numFmtId="1" showAll="0"/>
    <pivotField showAll="0"/>
    <pivotField axis="axisRow" showAll="0" sortType="ascending">
      <items count="10">
        <item x="2"/>
        <item x="3"/>
        <item x="6"/>
        <item x="5"/>
        <item x="1"/>
        <item x="7"/>
        <item x="4"/>
        <item x="0"/>
        <item x="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10"/>
  </rowFields>
  <rowItems count="10">
    <i>
      <x v="8"/>
    </i>
    <i>
      <x v="7"/>
    </i>
    <i>
      <x v="5"/>
    </i>
    <i>
      <x v="3"/>
    </i>
    <i>
      <x v="4"/>
    </i>
    <i>
      <x v="1"/>
    </i>
    <i>
      <x v="2"/>
    </i>
    <i>
      <x v="6"/>
    </i>
    <i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Average of Avg Hours" fld="2" subtotal="average" baseField="0" baseItem="0"/>
    <dataField name="Average of Sentiment Score" fld="3" subtotal="average" baseField="0" baseItem="0"/>
    <dataField name="Average of Final Difficulty Score" fld="6" subtotal="average" baseField="0" baseItem="0"/>
  </dataFields>
  <formats count="2">
    <format dxfId="5">
      <pivotArea collapsedLevelsAreSubtotals="1" fieldPosition="0">
        <references count="1">
          <reference field="10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0">
      <pivotArea dataOnly="0" labelOnly="1"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A1ED24-C8F0-3843-834E-8D5B5A2578F2}" name="PivotTable11" cacheId="5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multipleFieldFilters="0">
  <location ref="A16:D26" firstHeaderRow="0" firstDataRow="1" firstDataCol="1"/>
  <pivotFields count="11">
    <pivotField showAll="0"/>
    <pivotField showAll="0"/>
    <pivotField dataField="1" showAll="0"/>
    <pivotField dataField="1" showAll="0"/>
    <pivotField showAll="0"/>
    <pivotField showAll="0"/>
    <pivotField dataField="1" showAll="0"/>
    <pivotField numFmtId="1" showAll="0"/>
    <pivotField numFmtId="1" showAll="0"/>
    <pivotField showAll="0"/>
    <pivotField axis="axisRow" showAll="0" sortType="ascending">
      <items count="10">
        <item x="2"/>
        <item x="3"/>
        <item x="6"/>
        <item x="5"/>
        <item x="1"/>
        <item x="7"/>
        <item x="4"/>
        <item x="0"/>
        <item x="8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10"/>
  </rowFields>
  <rowItems count="10">
    <i>
      <x v="8"/>
    </i>
    <i>
      <x v="2"/>
    </i>
    <i>
      <x v="3"/>
    </i>
    <i>
      <x v="1"/>
    </i>
    <i>
      <x/>
    </i>
    <i>
      <x v="5"/>
    </i>
    <i>
      <x v="7"/>
    </i>
    <i>
      <x v="4"/>
    </i>
    <i>
      <x v="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Average of Avg Hours" fld="2" subtotal="average" baseField="0" baseItem="0"/>
    <dataField name="Average of Sentiment Score" fld="3" subtotal="average" baseField="0" baseItem="0"/>
    <dataField name="Average of Final Difficulty Score" fld="6" subtotal="average" baseField="0" baseItem="0"/>
  </dataFields>
  <formats count="2">
    <format dxfId="7">
      <pivotArea collapsedLevelsAreSubtotals="1" fieldPosition="0">
        <references count="1">
          <reference field="10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1">
      <pivotArea dataOnly="0" labelOnly="1" outline="0" fieldPosition="0">
        <references count="1">
          <reference field="4294967294" count="1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654F62-DAFF-D44A-995E-C7ACA98FAA90}" name="PivotTable10" cacheId="5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multipleFieldFilters="0">
  <location ref="A3:D13" firstHeaderRow="0" firstDataRow="1" firstDataCol="1"/>
  <pivotFields count="11">
    <pivotField showAll="0"/>
    <pivotField showAll="0"/>
    <pivotField dataField="1" showAll="0"/>
    <pivotField dataField="1" showAll="0"/>
    <pivotField showAll="0"/>
    <pivotField showAll="0"/>
    <pivotField dataField="1" showAll="0"/>
    <pivotField numFmtId="1" showAll="0"/>
    <pivotField numFmtId="1" showAll="0"/>
    <pivotField showAll="0"/>
    <pivotField axis="axisRow" showAll="0" sortType="ascending">
      <items count="10">
        <item x="2"/>
        <item x="3"/>
        <item x="6"/>
        <item x="5"/>
        <item x="1"/>
        <item x="7"/>
        <item x="4"/>
        <item x="0"/>
        <item x="8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</pivotFields>
  <rowFields count="1">
    <field x="10"/>
  </rowFields>
  <rowItems count="10">
    <i>
      <x v="8"/>
    </i>
    <i>
      <x v="7"/>
    </i>
    <i>
      <x v="4"/>
    </i>
    <i>
      <x v="5"/>
    </i>
    <i>
      <x v="6"/>
    </i>
    <i>
      <x v="3"/>
    </i>
    <i>
      <x v="1"/>
    </i>
    <i>
      <x v="2"/>
    </i>
    <i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Average of Avg Hours" fld="2" subtotal="average" baseField="0" baseItem="0"/>
    <dataField name="Average of Sentiment Score" fld="3" subtotal="average" baseField="0" baseItem="0"/>
    <dataField name="Average of Final Difficulty Score" fld="6" subtotal="average" baseField="0" baseItem="0"/>
  </dataFields>
  <formats count="2">
    <format dxfId="10">
      <pivotArea collapsedLevelsAreSubtotals="1" fieldPosition="0">
        <references count="1">
          <reference field="10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2">
      <pivotArea dataOnly="0" labelOnly="1" outline="0" fieldPosition="0">
        <references count="1">
          <reference field="4294967294" count="1"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D5D15-9E6F-9843-86C4-D2A19EAD134A}">
  <dimension ref="A3:E29"/>
  <sheetViews>
    <sheetView workbookViewId="0">
      <selection activeCell="I11" sqref="I11"/>
    </sheetView>
  </sheetViews>
  <sheetFormatPr baseColWidth="10" defaultRowHeight="16" x14ac:dyDescent="0.2"/>
  <cols>
    <col min="1" max="1" width="27.5" bestFit="1" customWidth="1"/>
    <col min="2" max="2" width="22.5" bestFit="1" customWidth="1"/>
    <col min="3" max="3" width="18.6640625" bestFit="1" customWidth="1"/>
    <col min="4" max="4" width="24" bestFit="1" customWidth="1"/>
    <col min="5" max="5" width="27.6640625" bestFit="1" customWidth="1"/>
  </cols>
  <sheetData>
    <row r="3" spans="1:5" x14ac:dyDescent="0.2">
      <c r="A3" s="6" t="s">
        <v>73</v>
      </c>
      <c r="B3" t="s">
        <v>112</v>
      </c>
      <c r="C3" t="s">
        <v>76</v>
      </c>
      <c r="D3" t="s">
        <v>111</v>
      </c>
      <c r="E3" t="s">
        <v>75</v>
      </c>
    </row>
    <row r="4" spans="1:5" x14ac:dyDescent="0.2">
      <c r="A4" s="7" t="s">
        <v>101</v>
      </c>
      <c r="B4" s="8"/>
      <c r="C4" s="8"/>
      <c r="D4" s="8"/>
      <c r="E4" s="8"/>
    </row>
    <row r="5" spans="1:5" x14ac:dyDescent="0.2">
      <c r="A5" s="7" t="s">
        <v>100</v>
      </c>
      <c r="B5" s="9">
        <v>0.23866015352407535</v>
      </c>
      <c r="C5" s="9">
        <v>6.59</v>
      </c>
      <c r="D5" s="9">
        <v>0.27700000000000002</v>
      </c>
      <c r="E5" s="9">
        <v>0.20011610296291099</v>
      </c>
    </row>
    <row r="6" spans="1:5" x14ac:dyDescent="0.2">
      <c r="A6" s="7" t="s">
        <v>90</v>
      </c>
      <c r="B6" s="9">
        <v>0.34124214933705516</v>
      </c>
      <c r="C6" s="9">
        <v>8.06</v>
      </c>
      <c r="D6" s="9">
        <v>0.27500000000000002</v>
      </c>
      <c r="E6" s="9">
        <v>0.25577391309647513</v>
      </c>
    </row>
    <row r="7" spans="1:5" x14ac:dyDescent="0.2">
      <c r="A7" s="7" t="s">
        <v>82</v>
      </c>
      <c r="B7" s="9">
        <v>0.69016050244242855</v>
      </c>
      <c r="C7" s="9">
        <v>5.6425000000000001</v>
      </c>
      <c r="D7" s="9">
        <v>0.23175000000000001</v>
      </c>
      <c r="E7" s="9">
        <v>0.26585521564373149</v>
      </c>
    </row>
    <row r="8" spans="1:5" x14ac:dyDescent="0.2">
      <c r="A8" s="7" t="s">
        <v>99</v>
      </c>
      <c r="B8" s="9">
        <v>1.5352407536636428</v>
      </c>
      <c r="C8" s="9">
        <v>5.919999999999999</v>
      </c>
      <c r="D8" s="9">
        <v>0.21762500000000001</v>
      </c>
      <c r="E8" s="9">
        <v>0.30637831129611737</v>
      </c>
    </row>
    <row r="9" spans="1:5" x14ac:dyDescent="0.2">
      <c r="A9" s="7" t="s">
        <v>94</v>
      </c>
      <c r="B9" s="9">
        <v>1.8387997208653175</v>
      </c>
      <c r="C9" s="9">
        <v>5.5654545454545463</v>
      </c>
      <c r="D9" s="9">
        <v>0.21027272727272728</v>
      </c>
      <c r="E9" s="9">
        <v>0.31006056690713729</v>
      </c>
    </row>
    <row r="10" spans="1:5" x14ac:dyDescent="0.2">
      <c r="A10" s="7" t="s">
        <v>77</v>
      </c>
      <c r="B10" s="9">
        <v>3.4863921842288912</v>
      </c>
      <c r="C10" s="9">
        <v>6.1088235294117643</v>
      </c>
      <c r="D10" s="9">
        <v>0.21782352941176469</v>
      </c>
      <c r="E10" s="9">
        <v>0.3125332404557431</v>
      </c>
    </row>
    <row r="11" spans="1:5" x14ac:dyDescent="0.2">
      <c r="A11" s="7" t="s">
        <v>92</v>
      </c>
      <c r="B11" s="9">
        <v>3.0041870202372647</v>
      </c>
      <c r="C11" s="9">
        <v>6.4815384615384621</v>
      </c>
      <c r="D11" s="9">
        <v>0.22353846153846157</v>
      </c>
      <c r="E11" s="9">
        <v>0.31305993074140637</v>
      </c>
    </row>
    <row r="12" spans="1:5" x14ac:dyDescent="0.2">
      <c r="A12" s="7" t="s">
        <v>91</v>
      </c>
      <c r="B12" s="9">
        <v>2.3984647592463362</v>
      </c>
      <c r="C12" s="9">
        <v>5.8138461538461534</v>
      </c>
      <c r="D12" s="9">
        <v>0.20892307692307688</v>
      </c>
      <c r="E12" s="9">
        <v>0.32167424082422086</v>
      </c>
    </row>
    <row r="13" spans="1:5" x14ac:dyDescent="0.2">
      <c r="A13" s="7" t="s">
        <v>96</v>
      </c>
      <c r="B13" s="9">
        <v>0.29030006978367062</v>
      </c>
      <c r="C13" s="9">
        <v>5.25</v>
      </c>
      <c r="D13" s="9">
        <v>0.19900000000000001</v>
      </c>
      <c r="E13" s="9">
        <v>0.32366672050268619</v>
      </c>
    </row>
    <row r="14" spans="1:5" x14ac:dyDescent="0.2">
      <c r="A14" s="7" t="s">
        <v>83</v>
      </c>
      <c r="B14" s="9">
        <v>3.7585484996510812</v>
      </c>
      <c r="C14" s="9">
        <v>6.5362500000000008</v>
      </c>
      <c r="D14" s="9">
        <v>0.217</v>
      </c>
      <c r="E14" s="9">
        <v>0.3292450336271967</v>
      </c>
    </row>
    <row r="15" spans="1:5" x14ac:dyDescent="0.2">
      <c r="A15" s="7" t="s">
        <v>86</v>
      </c>
      <c r="B15" s="9">
        <v>3.060013956734124</v>
      </c>
      <c r="C15" s="9">
        <v>6.0933333333333337</v>
      </c>
      <c r="D15" s="9">
        <v>0.20766666666666669</v>
      </c>
      <c r="E15" s="9">
        <v>0.33416931529725091</v>
      </c>
    </row>
    <row r="16" spans="1:5" x14ac:dyDescent="0.2">
      <c r="A16" s="7" t="s">
        <v>84</v>
      </c>
      <c r="B16" s="9">
        <v>3.8925331472435447</v>
      </c>
      <c r="C16" s="9">
        <v>6.65625</v>
      </c>
      <c r="D16" s="9">
        <v>0.2149375</v>
      </c>
      <c r="E16" s="9">
        <v>0.33793532897363149</v>
      </c>
    </row>
    <row r="17" spans="1:5" x14ac:dyDescent="0.2">
      <c r="A17" s="7" t="s">
        <v>85</v>
      </c>
      <c r="B17" s="9">
        <v>3.1311933007676207</v>
      </c>
      <c r="C17" s="9">
        <v>6.375</v>
      </c>
      <c r="D17" s="9">
        <v>0.20700000000000002</v>
      </c>
      <c r="E17" s="9">
        <v>0.34545278631874377</v>
      </c>
    </row>
    <row r="18" spans="1:5" x14ac:dyDescent="0.2">
      <c r="A18" s="7" t="s">
        <v>95</v>
      </c>
      <c r="B18" s="9">
        <v>3.1423586880669925</v>
      </c>
      <c r="C18" s="9">
        <v>6.9224999999999994</v>
      </c>
      <c r="D18" s="9">
        <v>0.21533333333333335</v>
      </c>
      <c r="E18" s="9">
        <v>0.34636101520512036</v>
      </c>
    </row>
    <row r="19" spans="1:5" x14ac:dyDescent="0.2">
      <c r="A19" s="7" t="s">
        <v>89</v>
      </c>
      <c r="B19" s="9">
        <v>1.592463363572924</v>
      </c>
      <c r="C19" s="9">
        <v>6.0225</v>
      </c>
      <c r="D19" s="9">
        <v>0.199375</v>
      </c>
      <c r="E19" s="9">
        <v>0.34980188598749989</v>
      </c>
    </row>
    <row r="20" spans="1:5" x14ac:dyDescent="0.2">
      <c r="A20" s="7" t="s">
        <v>97</v>
      </c>
      <c r="B20" s="9">
        <v>3.1779483600837404</v>
      </c>
      <c r="C20" s="9">
        <v>7.31</v>
      </c>
      <c r="D20" s="9">
        <v>0.21836363636363634</v>
      </c>
      <c r="E20" s="9">
        <v>0.3532652192257198</v>
      </c>
    </row>
    <row r="21" spans="1:5" x14ac:dyDescent="0.2">
      <c r="A21" s="7" t="s">
        <v>80</v>
      </c>
      <c r="B21" s="9">
        <v>3.1660851360781574</v>
      </c>
      <c r="C21" s="9">
        <v>7.706999999999999</v>
      </c>
      <c r="D21" s="9">
        <v>0.223</v>
      </c>
      <c r="E21" s="9">
        <v>0.35699421313578561</v>
      </c>
    </row>
    <row r="22" spans="1:5" x14ac:dyDescent="0.2">
      <c r="A22" s="7" t="s">
        <v>87</v>
      </c>
      <c r="B22" s="9">
        <v>0.70760642009769725</v>
      </c>
      <c r="C22" s="9">
        <v>6.55</v>
      </c>
      <c r="D22" s="9">
        <v>0.20066666666666669</v>
      </c>
      <c r="E22" s="9">
        <v>0.36538709621715615</v>
      </c>
    </row>
    <row r="23" spans="1:5" x14ac:dyDescent="0.2">
      <c r="A23" s="7" t="s">
        <v>81</v>
      </c>
      <c r="B23" s="9">
        <v>2.0139567341242151</v>
      </c>
      <c r="C23" s="9">
        <v>6.376666666666666</v>
      </c>
      <c r="D23" s="9">
        <v>0.19288888888888886</v>
      </c>
      <c r="E23" s="9">
        <v>0.37632122564639625</v>
      </c>
    </row>
    <row r="24" spans="1:5" x14ac:dyDescent="0.2">
      <c r="A24" s="7" t="s">
        <v>78</v>
      </c>
      <c r="B24" s="9">
        <v>4.6545708304256799</v>
      </c>
      <c r="C24" s="9">
        <v>7.0935294117647061</v>
      </c>
      <c r="D24" s="9">
        <v>0.20305882352941179</v>
      </c>
      <c r="E24" s="9">
        <v>0.37912878502022612</v>
      </c>
    </row>
    <row r="25" spans="1:5" x14ac:dyDescent="0.2">
      <c r="A25" s="7" t="s">
        <v>88</v>
      </c>
      <c r="B25" s="9">
        <v>2.258897418004187</v>
      </c>
      <c r="C25" s="9">
        <v>7.2162499999999996</v>
      </c>
      <c r="D25" s="9">
        <v>0.19874999999999998</v>
      </c>
      <c r="E25" s="9">
        <v>0.39281864321041454</v>
      </c>
    </row>
    <row r="26" spans="1:5" x14ac:dyDescent="0.2">
      <c r="A26" s="7" t="s">
        <v>79</v>
      </c>
      <c r="B26" s="9">
        <v>1.0662944870900211</v>
      </c>
      <c r="C26" s="9">
        <v>6.99</v>
      </c>
      <c r="D26" s="9">
        <v>0.192</v>
      </c>
      <c r="E26" s="9">
        <v>0.399662356737781</v>
      </c>
    </row>
    <row r="27" spans="1:5" x14ac:dyDescent="0.2">
      <c r="A27" s="7" t="s">
        <v>93</v>
      </c>
      <c r="B27" s="9">
        <v>0.1751570132588974</v>
      </c>
      <c r="C27" s="9">
        <v>5.68</v>
      </c>
      <c r="D27" s="9">
        <v>0.16600000000000001</v>
      </c>
      <c r="E27" s="9">
        <v>0.41072261143294214</v>
      </c>
    </row>
    <row r="28" spans="1:5" x14ac:dyDescent="0.2">
      <c r="A28" s="7" t="s">
        <v>98</v>
      </c>
      <c r="B28" s="9">
        <v>1.2156315422191208</v>
      </c>
      <c r="C28" s="9">
        <v>8.9766666666666666</v>
      </c>
      <c r="D28" s="9">
        <v>0.20633333333333334</v>
      </c>
      <c r="E28" s="9">
        <v>0.43768531526068305</v>
      </c>
    </row>
    <row r="29" spans="1:5" x14ac:dyDescent="0.2">
      <c r="A29" s="7" t="s">
        <v>74</v>
      </c>
      <c r="B29" s="8">
        <v>50.836706210746712</v>
      </c>
      <c r="C29" s="8">
        <v>6.5270967741935468</v>
      </c>
      <c r="D29" s="8">
        <v>0.21163133640553008</v>
      </c>
      <c r="E29" s="8">
        <v>0.34064763369348794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4AB3C4-F845-A345-BEEA-B271E7F74BD9}">
  <dimension ref="A3:D38"/>
  <sheetViews>
    <sheetView tabSelected="1" topLeftCell="A2" zoomScale="104" workbookViewId="0">
      <selection activeCell="F12" sqref="F12"/>
    </sheetView>
  </sheetViews>
  <sheetFormatPr baseColWidth="10" defaultRowHeight="16" x14ac:dyDescent="0.2"/>
  <cols>
    <col min="1" max="1" width="23.83203125" bestFit="1" customWidth="1"/>
    <col min="2" max="2" width="19" bestFit="1" customWidth="1"/>
    <col min="3" max="3" width="25" bestFit="1" customWidth="1"/>
    <col min="4" max="4" width="28.33203125" bestFit="1" customWidth="1"/>
  </cols>
  <sheetData>
    <row r="3" spans="1:4" x14ac:dyDescent="0.2">
      <c r="A3" s="6" t="s">
        <v>73</v>
      </c>
      <c r="B3" t="s">
        <v>76</v>
      </c>
      <c r="C3" t="s">
        <v>111</v>
      </c>
      <c r="D3" s="10" t="s">
        <v>75</v>
      </c>
    </row>
    <row r="4" spans="1:4" x14ac:dyDescent="0.2">
      <c r="A4" s="7" t="s">
        <v>101</v>
      </c>
      <c r="B4" s="8"/>
      <c r="C4" s="8"/>
      <c r="D4" s="8"/>
    </row>
    <row r="5" spans="1:4" x14ac:dyDescent="0.2">
      <c r="A5" s="7" t="s">
        <v>104</v>
      </c>
      <c r="B5" s="9">
        <v>6.13037037037037</v>
      </c>
      <c r="C5" s="9">
        <v>0.21437037037037041</v>
      </c>
      <c r="D5" s="9">
        <v>0.32082469784392947</v>
      </c>
    </row>
    <row r="6" spans="1:4" x14ac:dyDescent="0.2">
      <c r="A6" s="7" t="s">
        <v>105</v>
      </c>
      <c r="B6" s="9">
        <v>6.4902777777777789</v>
      </c>
      <c r="C6" s="9">
        <v>0.21772222222222223</v>
      </c>
      <c r="D6" s="9">
        <v>0.32606407400522713</v>
      </c>
    </row>
    <row r="7" spans="1:4" x14ac:dyDescent="0.2">
      <c r="A7" s="7" t="s">
        <v>110</v>
      </c>
      <c r="B7" s="9">
        <v>6.1915999999999993</v>
      </c>
      <c r="C7" s="9">
        <v>0.21180000000000007</v>
      </c>
      <c r="D7" s="9">
        <v>0.32857327437781308</v>
      </c>
    </row>
    <row r="8" spans="1:4" x14ac:dyDescent="0.2">
      <c r="A8" s="7" t="s">
        <v>107</v>
      </c>
      <c r="B8" s="9">
        <v>7.0126086956521752</v>
      </c>
      <c r="C8" s="9">
        <v>0.21908695652173912</v>
      </c>
      <c r="D8" s="9">
        <v>0.34130938915638337</v>
      </c>
    </row>
    <row r="9" spans="1:4" x14ac:dyDescent="0.2">
      <c r="A9" s="7" t="s">
        <v>108</v>
      </c>
      <c r="B9" s="9">
        <v>6.2593750000000004</v>
      </c>
      <c r="C9" s="9">
        <v>0.20671875000000001</v>
      </c>
      <c r="D9" s="9">
        <v>0.34203250083039521</v>
      </c>
    </row>
    <row r="10" spans="1:4" x14ac:dyDescent="0.2">
      <c r="A10" s="7" t="s">
        <v>103</v>
      </c>
      <c r="B10" s="9">
        <v>6.6421052631578954</v>
      </c>
      <c r="C10" s="9">
        <v>0.20850000000000005</v>
      </c>
      <c r="D10" s="9">
        <v>0.35149747000112114</v>
      </c>
    </row>
    <row r="11" spans="1:4" x14ac:dyDescent="0.2">
      <c r="A11" s="7" t="s">
        <v>109</v>
      </c>
      <c r="B11" s="9">
        <v>6.7041176470588235</v>
      </c>
      <c r="C11" s="9">
        <v>0.20352941176470585</v>
      </c>
      <c r="D11" s="9">
        <v>0.36451400862822297</v>
      </c>
    </row>
    <row r="12" spans="1:4" x14ac:dyDescent="0.2">
      <c r="A12" s="7" t="s">
        <v>106</v>
      </c>
      <c r="B12" s="9">
        <v>7.0768421052631583</v>
      </c>
      <c r="C12" s="9">
        <v>0.20873684210526317</v>
      </c>
      <c r="D12" s="9">
        <v>0.36614911379870646</v>
      </c>
    </row>
    <row r="13" spans="1:4" x14ac:dyDescent="0.2">
      <c r="A13" s="7" t="s">
        <v>74</v>
      </c>
      <c r="B13" s="8">
        <v>6.5270967741935468</v>
      </c>
      <c r="C13" s="8">
        <v>0.21163133640552997</v>
      </c>
      <c r="D13" s="8">
        <v>0.34064763369348827</v>
      </c>
    </row>
    <row r="16" spans="1:4" x14ac:dyDescent="0.2">
      <c r="A16" s="6" t="s">
        <v>73</v>
      </c>
      <c r="B16" t="s">
        <v>76</v>
      </c>
      <c r="C16" s="10" t="s">
        <v>111</v>
      </c>
      <c r="D16" t="s">
        <v>75</v>
      </c>
    </row>
    <row r="17" spans="1:4" x14ac:dyDescent="0.2">
      <c r="A17" s="7" t="s">
        <v>101</v>
      </c>
      <c r="B17" s="8"/>
      <c r="C17" s="8"/>
      <c r="D17" s="8"/>
    </row>
    <row r="18" spans="1:4" x14ac:dyDescent="0.2">
      <c r="A18" s="7" t="s">
        <v>109</v>
      </c>
      <c r="B18" s="9">
        <v>6.7041176470588235</v>
      </c>
      <c r="C18" s="9">
        <v>0.20352941176470585</v>
      </c>
      <c r="D18" s="9">
        <v>0.36451400862822297</v>
      </c>
    </row>
    <row r="19" spans="1:4" x14ac:dyDescent="0.2">
      <c r="A19" s="7" t="s">
        <v>108</v>
      </c>
      <c r="B19" s="9">
        <v>6.2593750000000004</v>
      </c>
      <c r="C19" s="9">
        <v>0.20671875000000001</v>
      </c>
      <c r="D19" s="9">
        <v>0.34203250083039521</v>
      </c>
    </row>
    <row r="20" spans="1:4" x14ac:dyDescent="0.2">
      <c r="A20" s="7" t="s">
        <v>103</v>
      </c>
      <c r="B20" s="9">
        <v>6.6421052631578954</v>
      </c>
      <c r="C20" s="9">
        <v>0.20850000000000005</v>
      </c>
      <c r="D20" s="9">
        <v>0.35149747000112114</v>
      </c>
    </row>
    <row r="21" spans="1:4" x14ac:dyDescent="0.2">
      <c r="A21" s="7" t="s">
        <v>106</v>
      </c>
      <c r="B21" s="9">
        <v>7.0768421052631583</v>
      </c>
      <c r="C21" s="9">
        <v>0.20873684210526317</v>
      </c>
      <c r="D21" s="9">
        <v>0.36614911379870646</v>
      </c>
    </row>
    <row r="22" spans="1:4" x14ac:dyDescent="0.2">
      <c r="A22" s="7" t="s">
        <v>110</v>
      </c>
      <c r="B22" s="9">
        <v>6.1915999999999993</v>
      </c>
      <c r="C22" s="9">
        <v>0.21180000000000007</v>
      </c>
      <c r="D22" s="9">
        <v>0.32857327437781308</v>
      </c>
    </row>
    <row r="23" spans="1:4" x14ac:dyDescent="0.2">
      <c r="A23" s="7" t="s">
        <v>104</v>
      </c>
      <c r="B23" s="9">
        <v>6.13037037037037</v>
      </c>
      <c r="C23" s="9">
        <v>0.21437037037037041</v>
      </c>
      <c r="D23" s="9">
        <v>0.32082469784392947</v>
      </c>
    </row>
    <row r="24" spans="1:4" x14ac:dyDescent="0.2">
      <c r="A24" s="7" t="s">
        <v>105</v>
      </c>
      <c r="B24" s="9">
        <v>6.4902777777777789</v>
      </c>
      <c r="C24" s="9">
        <v>0.21772222222222223</v>
      </c>
      <c r="D24" s="9">
        <v>0.32606407400522713</v>
      </c>
    </row>
    <row r="25" spans="1:4" x14ac:dyDescent="0.2">
      <c r="A25" s="7" t="s">
        <v>107</v>
      </c>
      <c r="B25" s="9">
        <v>7.0126086956521752</v>
      </c>
      <c r="C25" s="9">
        <v>0.21908695652173912</v>
      </c>
      <c r="D25" s="9">
        <v>0.34130938915638337</v>
      </c>
    </row>
    <row r="26" spans="1:4" x14ac:dyDescent="0.2">
      <c r="A26" s="7" t="s">
        <v>74</v>
      </c>
      <c r="B26" s="8">
        <v>6.5270967741935468</v>
      </c>
      <c r="C26" s="8">
        <v>0.21163133640552997</v>
      </c>
      <c r="D26" s="8">
        <v>0.34064763369348827</v>
      </c>
    </row>
    <row r="28" spans="1:4" x14ac:dyDescent="0.2">
      <c r="A28" s="6" t="s">
        <v>73</v>
      </c>
      <c r="B28" s="10" t="s">
        <v>76</v>
      </c>
      <c r="C28" t="s">
        <v>111</v>
      </c>
      <c r="D28" t="s">
        <v>75</v>
      </c>
    </row>
    <row r="29" spans="1:4" x14ac:dyDescent="0.2">
      <c r="A29" s="7" t="s">
        <v>101</v>
      </c>
      <c r="B29" s="8"/>
      <c r="C29" s="8"/>
      <c r="D29" s="8"/>
    </row>
    <row r="30" spans="1:4" x14ac:dyDescent="0.2">
      <c r="A30" s="7" t="s">
        <v>104</v>
      </c>
      <c r="B30" s="9">
        <v>6.13037037037037</v>
      </c>
      <c r="C30" s="9">
        <v>0.21437037037037041</v>
      </c>
      <c r="D30" s="9">
        <v>0.32082469784392947</v>
      </c>
    </row>
    <row r="31" spans="1:4" x14ac:dyDescent="0.2">
      <c r="A31" s="7" t="s">
        <v>110</v>
      </c>
      <c r="B31" s="9">
        <v>6.1915999999999993</v>
      </c>
      <c r="C31" s="9">
        <v>0.21180000000000007</v>
      </c>
      <c r="D31" s="9">
        <v>0.32857327437781308</v>
      </c>
    </row>
    <row r="32" spans="1:4" x14ac:dyDescent="0.2">
      <c r="A32" s="7" t="s">
        <v>108</v>
      </c>
      <c r="B32" s="9">
        <v>6.2593750000000004</v>
      </c>
      <c r="C32" s="9">
        <v>0.20671875000000001</v>
      </c>
      <c r="D32" s="9">
        <v>0.34203250083039521</v>
      </c>
    </row>
    <row r="33" spans="1:4" x14ac:dyDescent="0.2">
      <c r="A33" s="7" t="s">
        <v>105</v>
      </c>
      <c r="B33" s="9">
        <v>6.4902777777777789</v>
      </c>
      <c r="C33" s="9">
        <v>0.21772222222222223</v>
      </c>
      <c r="D33" s="9">
        <v>0.32606407400522713</v>
      </c>
    </row>
    <row r="34" spans="1:4" x14ac:dyDescent="0.2">
      <c r="A34" s="7" t="s">
        <v>103</v>
      </c>
      <c r="B34" s="9">
        <v>6.6421052631578954</v>
      </c>
      <c r="C34" s="9">
        <v>0.20850000000000005</v>
      </c>
      <c r="D34" s="9">
        <v>0.35149747000112114</v>
      </c>
    </row>
    <row r="35" spans="1:4" x14ac:dyDescent="0.2">
      <c r="A35" s="7" t="s">
        <v>109</v>
      </c>
      <c r="B35" s="9">
        <v>6.7041176470588235</v>
      </c>
      <c r="C35" s="9">
        <v>0.20352941176470585</v>
      </c>
      <c r="D35" s="9">
        <v>0.36451400862822297</v>
      </c>
    </row>
    <row r="36" spans="1:4" x14ac:dyDescent="0.2">
      <c r="A36" s="7" t="s">
        <v>107</v>
      </c>
      <c r="B36" s="9">
        <v>7.0126086956521752</v>
      </c>
      <c r="C36" s="9">
        <v>0.21908695652173912</v>
      </c>
      <c r="D36" s="9">
        <v>0.34130938915638337</v>
      </c>
    </row>
    <row r="37" spans="1:4" x14ac:dyDescent="0.2">
      <c r="A37" s="7" t="s">
        <v>106</v>
      </c>
      <c r="B37" s="9">
        <v>7.0768421052631583</v>
      </c>
      <c r="C37" s="9">
        <v>0.20873684210526317</v>
      </c>
      <c r="D37" s="9">
        <v>0.36614911379870646</v>
      </c>
    </row>
    <row r="38" spans="1:4" x14ac:dyDescent="0.2">
      <c r="A38" s="7" t="s">
        <v>74</v>
      </c>
      <c r="B38" s="8">
        <v>6.5270967741935468</v>
      </c>
      <c r="C38" s="8">
        <v>0.21163133640552997</v>
      </c>
      <c r="D38" s="8">
        <v>0.34064763369348827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FC4015-14A2-C64C-8C23-316C45E8724D}">
  <dimension ref="A1:K220"/>
  <sheetViews>
    <sheetView zoomScale="64" zoomScaleNormal="118" workbookViewId="0">
      <selection activeCell="G211" sqref="G211"/>
    </sheetView>
  </sheetViews>
  <sheetFormatPr baseColWidth="10" defaultRowHeight="24" x14ac:dyDescent="0.3"/>
  <cols>
    <col min="1" max="1" width="41.6640625" customWidth="1"/>
    <col min="2" max="2" width="28.5" customWidth="1"/>
    <col min="3" max="3" width="18.5" customWidth="1"/>
    <col min="4" max="4" width="28.83203125" customWidth="1"/>
    <col min="5" max="5" width="26.5" customWidth="1"/>
    <col min="6" max="6" width="25.5" customWidth="1"/>
    <col min="7" max="7" width="29" customWidth="1"/>
    <col min="8" max="8" width="28.33203125" customWidth="1"/>
    <col min="9" max="9" width="25.6640625" customWidth="1"/>
    <col min="10" max="10" width="31.6640625" style="2" customWidth="1"/>
    <col min="11" max="11" width="36" customWidth="1"/>
  </cols>
  <sheetData>
    <row r="1" spans="1:11" x14ac:dyDescent="0.3">
      <c r="A1" s="1" t="s">
        <v>0</v>
      </c>
      <c r="B1" s="1" t="s">
        <v>1</v>
      </c>
      <c r="C1" s="1" t="s">
        <v>4</v>
      </c>
      <c r="D1" s="1" t="s">
        <v>5</v>
      </c>
      <c r="E1" s="1" t="s">
        <v>69</v>
      </c>
      <c r="F1" s="1" t="s">
        <v>70</v>
      </c>
      <c r="G1" s="1" t="s">
        <v>71</v>
      </c>
      <c r="H1" s="1" t="s">
        <v>2</v>
      </c>
      <c r="I1" s="1" t="s">
        <v>3</v>
      </c>
      <c r="J1" s="1" t="s">
        <v>72</v>
      </c>
      <c r="K1" s="1" t="s">
        <v>102</v>
      </c>
    </row>
    <row r="2" spans="1:11" x14ac:dyDescent="0.3">
      <c r="A2" s="2" t="s">
        <v>77</v>
      </c>
      <c r="B2" s="2" t="s">
        <v>6</v>
      </c>
      <c r="C2" s="3">
        <v>4.5</v>
      </c>
      <c r="D2" s="3">
        <v>0.29299999999999998</v>
      </c>
      <c r="E2" s="3">
        <f>(C2 - MIN(C:C)) / (MAX(C:C) - MIN(C:C))</f>
        <v>9.2812281926029319E-2</v>
      </c>
      <c r="F2" s="3">
        <f>1 - ((D2 - MIN(D:D)) / (MAX(D:D) - MIN(D:D)))</f>
        <v>9.1703056768559055E-2</v>
      </c>
      <c r="G2" s="3">
        <f>0.5 *E2+0.5*F2</f>
        <v>9.225766934729418E-2</v>
      </c>
      <c r="H2" s="4">
        <v>16</v>
      </c>
      <c r="I2" s="4">
        <v>11</v>
      </c>
      <c r="J2" s="5">
        <f>(I2/H2)</f>
        <v>0.6875</v>
      </c>
      <c r="K2" s="2" t="s">
        <v>103</v>
      </c>
    </row>
    <row r="3" spans="1:11" x14ac:dyDescent="0.3">
      <c r="A3" s="2" t="s">
        <v>77</v>
      </c>
      <c r="B3" s="2" t="s">
        <v>54</v>
      </c>
      <c r="C3" s="3">
        <v>4.17</v>
      </c>
      <c r="D3" s="3">
        <v>0.27800000000000002</v>
      </c>
      <c r="E3" s="3">
        <f>(C3 - MIN(C:C)) / (MAX(C:C) - MIN(C:C))</f>
        <v>6.978367062107467E-2</v>
      </c>
      <c r="F3" s="3">
        <f>1 - ((D3 - MIN(D:D)) / (MAX(D:D) - MIN(D:D)))</f>
        <v>0.15720524017467241</v>
      </c>
      <c r="G3" s="3">
        <f>0.5 *E3+0.5*F3</f>
        <v>0.11349445539787353</v>
      </c>
      <c r="H3" s="4">
        <v>19</v>
      </c>
      <c r="I3" s="4">
        <v>10</v>
      </c>
      <c r="J3" s="5">
        <f>(I3/H3)</f>
        <v>0.52631578947368418</v>
      </c>
      <c r="K3" s="2" t="s">
        <v>103</v>
      </c>
    </row>
    <row r="4" spans="1:11" x14ac:dyDescent="0.3">
      <c r="A4" s="2" t="s">
        <v>78</v>
      </c>
      <c r="B4" s="2" t="s">
        <v>6</v>
      </c>
      <c r="C4" s="3">
        <v>5.28</v>
      </c>
      <c r="D4" s="3">
        <v>0.29399999999999998</v>
      </c>
      <c r="E4" s="3">
        <f>(C4 - MIN(C:C)) / (MAX(C:C) - MIN(C:C))</f>
        <v>0.14724354501046757</v>
      </c>
      <c r="F4" s="3">
        <f>1 - ((D4 - MIN(D:D)) / (MAX(D:D) - MIN(D:D)))</f>
        <v>8.7336244541484809E-2</v>
      </c>
      <c r="G4" s="3">
        <f>0.5 *E4+0.5*F4</f>
        <v>0.11728989477597619</v>
      </c>
      <c r="H4" s="4">
        <v>19</v>
      </c>
      <c r="I4" s="4">
        <v>11</v>
      </c>
      <c r="J4" s="5">
        <f>(I4/H4)</f>
        <v>0.57894736842105265</v>
      </c>
      <c r="K4" s="2" t="s">
        <v>103</v>
      </c>
    </row>
    <row r="5" spans="1:11" x14ac:dyDescent="0.3">
      <c r="A5" s="2" t="s">
        <v>99</v>
      </c>
      <c r="B5" s="2" t="s">
        <v>16</v>
      </c>
      <c r="C5" s="3">
        <v>6.59</v>
      </c>
      <c r="D5" s="3">
        <v>0.314</v>
      </c>
      <c r="E5" s="3">
        <f>(C5 - MIN(C:C)) / (MAX(C:C) - MIN(C:C))</f>
        <v>0.23866015352407535</v>
      </c>
      <c r="F5" s="3">
        <f>1 - ((D5 - MIN(D:D)) / (MAX(D:D) - MIN(D:D)))</f>
        <v>0</v>
      </c>
      <c r="G5" s="3">
        <f>0.5 *E5+0.5*F5</f>
        <v>0.11933007676203768</v>
      </c>
      <c r="H5" s="4">
        <v>19</v>
      </c>
      <c r="I5" s="4">
        <v>12</v>
      </c>
      <c r="J5" s="5">
        <f>(I5/H5)</f>
        <v>0.63157894736842102</v>
      </c>
      <c r="K5" s="2" t="s">
        <v>107</v>
      </c>
    </row>
    <row r="6" spans="1:11" x14ac:dyDescent="0.3">
      <c r="A6" s="2" t="s">
        <v>81</v>
      </c>
      <c r="B6" s="2" t="s">
        <v>42</v>
      </c>
      <c r="C6" s="3">
        <v>6</v>
      </c>
      <c r="D6" s="3">
        <v>0.30099999999999999</v>
      </c>
      <c r="E6" s="3">
        <f>(C6 - MIN(C:C)) / (MAX(C:C) - MIN(C:C))</f>
        <v>0.19748778785764132</v>
      </c>
      <c r="F6" s="3">
        <f>1 - ((D6 - MIN(D:D)) / (MAX(D:D) - MIN(D:D)))</f>
        <v>5.6768558951965087E-2</v>
      </c>
      <c r="G6" s="3">
        <f>0.5 *E6+0.5*F6</f>
        <v>0.1271281734048032</v>
      </c>
      <c r="H6" s="4">
        <v>19</v>
      </c>
      <c r="I6" s="4">
        <v>10</v>
      </c>
      <c r="J6" s="5">
        <f>(I6/H6)</f>
        <v>0.52631578947368418</v>
      </c>
      <c r="K6" s="2" t="s">
        <v>106</v>
      </c>
    </row>
    <row r="7" spans="1:11" x14ac:dyDescent="0.3">
      <c r="A7" s="2" t="s">
        <v>82</v>
      </c>
      <c r="B7" s="2" t="s">
        <v>6</v>
      </c>
      <c r="C7" s="3">
        <v>5.83</v>
      </c>
      <c r="D7" s="3">
        <v>0.29799999999999999</v>
      </c>
      <c r="E7" s="3">
        <f>(C7 - MIN(C:C)) / (MAX(C:C) - MIN(C:C))</f>
        <v>0.18562456385205864</v>
      </c>
      <c r="F7" s="3">
        <f>1 - ((D7 - MIN(D:D)) / (MAX(D:D) - MIN(D:D)))</f>
        <v>6.9868995633187825E-2</v>
      </c>
      <c r="G7" s="3">
        <f>0.5 *E7+0.5*F7</f>
        <v>0.12774677974262322</v>
      </c>
      <c r="H7" s="4">
        <v>19</v>
      </c>
      <c r="I7" s="4">
        <v>10</v>
      </c>
      <c r="J7" s="5">
        <f>(I7/H7)</f>
        <v>0.52631578947368418</v>
      </c>
      <c r="K7" s="2" t="s">
        <v>105</v>
      </c>
    </row>
    <row r="8" spans="1:11" x14ac:dyDescent="0.3">
      <c r="A8" s="2" t="s">
        <v>85</v>
      </c>
      <c r="B8" s="2" t="s">
        <v>6</v>
      </c>
      <c r="C8" s="3">
        <v>3.61</v>
      </c>
      <c r="D8" s="3">
        <v>0.26</v>
      </c>
      <c r="E8" s="3">
        <f>(C8 - MIN(C:C)) / (MAX(C:C) - MIN(C:C))</f>
        <v>3.0704815073272849E-2</v>
      </c>
      <c r="F8" s="3">
        <f>1 - ((D8 - MIN(D:D)) / (MAX(D:D) - MIN(D:D)))</f>
        <v>0.23580786026200873</v>
      </c>
      <c r="G8" s="3">
        <f>0.5 *E8+0.5*F8</f>
        <v>0.13325633766764078</v>
      </c>
      <c r="H8" s="4">
        <v>19</v>
      </c>
      <c r="I8" s="4">
        <v>17</v>
      </c>
      <c r="J8" s="5">
        <f>(I8/H8)</f>
        <v>0.89473684210526316</v>
      </c>
      <c r="K8" s="2" t="s">
        <v>108</v>
      </c>
    </row>
    <row r="9" spans="1:11" x14ac:dyDescent="0.3">
      <c r="A9" s="2" t="s">
        <v>85</v>
      </c>
      <c r="B9" s="2" t="s">
        <v>6</v>
      </c>
      <c r="C9" s="3">
        <v>3.93</v>
      </c>
      <c r="D9" s="3">
        <v>0.26</v>
      </c>
      <c r="E9" s="3">
        <f>(C9 - MIN(C:C)) / (MAX(C:C) - MIN(C:C))</f>
        <v>5.3035589672016763E-2</v>
      </c>
      <c r="F9" s="3">
        <f>1 - ((D9 - MIN(D:D)) / (MAX(D:D) - MIN(D:D)))</f>
        <v>0.23580786026200873</v>
      </c>
      <c r="G9" s="3">
        <f>0.5 *E9+0.5*F9</f>
        <v>0.14442172496701275</v>
      </c>
      <c r="H9" s="4">
        <v>19</v>
      </c>
      <c r="I9" s="4">
        <v>15</v>
      </c>
      <c r="J9" s="5">
        <f>(I9/H9)</f>
        <v>0.78947368421052633</v>
      </c>
      <c r="K9" s="2" t="s">
        <v>108</v>
      </c>
    </row>
    <row r="10" spans="1:11" x14ac:dyDescent="0.3">
      <c r="A10" s="2" t="s">
        <v>84</v>
      </c>
      <c r="B10" s="2" t="s">
        <v>6</v>
      </c>
      <c r="C10" s="3">
        <v>4.42</v>
      </c>
      <c r="D10" s="3">
        <v>0.26600000000000001</v>
      </c>
      <c r="E10" s="3">
        <f>(C10 - MIN(C:C)) / (MAX(C:C) - MIN(C:C))</f>
        <v>8.7229588276343334E-2</v>
      </c>
      <c r="F10" s="3">
        <f>1 - ((D10 - MIN(D:D)) / (MAX(D:D) - MIN(D:D)))</f>
        <v>0.20960698689956325</v>
      </c>
      <c r="G10" s="3">
        <f>0.5 *E10+0.5*F10</f>
        <v>0.14841828758795328</v>
      </c>
      <c r="H10" s="4">
        <v>19</v>
      </c>
      <c r="I10" s="4">
        <v>13</v>
      </c>
      <c r="J10" s="5">
        <f>(I10/H10)</f>
        <v>0.68421052631578949</v>
      </c>
      <c r="K10" s="2" t="s">
        <v>105</v>
      </c>
    </row>
    <row r="11" spans="1:11" x14ac:dyDescent="0.3">
      <c r="A11" s="2" t="s">
        <v>91</v>
      </c>
      <c r="B11" s="2" t="s">
        <v>50</v>
      </c>
      <c r="C11" s="3">
        <v>3.75</v>
      </c>
      <c r="D11" s="3">
        <v>0.254</v>
      </c>
      <c r="E11" s="3">
        <f>(C11 - MIN(C:C)) / (MAX(C:C) - MIN(C:C))</f>
        <v>4.0474528960223313E-2</v>
      </c>
      <c r="F11" s="3">
        <f>1 - ((D11 - MIN(D:D)) / (MAX(D:D) - MIN(D:D)))</f>
        <v>0.2620087336244542</v>
      </c>
      <c r="G11" s="3">
        <f>0.5 *E11+0.5*F11</f>
        <v>0.15124163129233875</v>
      </c>
      <c r="H11" s="4">
        <v>19</v>
      </c>
      <c r="I11" s="4">
        <v>12</v>
      </c>
      <c r="J11" s="5">
        <f>(I11/H11)</f>
        <v>0.63157894736842102</v>
      </c>
      <c r="K11" s="2" t="s">
        <v>104</v>
      </c>
    </row>
    <row r="12" spans="1:11" x14ac:dyDescent="0.3">
      <c r="A12" s="2" t="s">
        <v>95</v>
      </c>
      <c r="B12" s="2" t="s">
        <v>6</v>
      </c>
      <c r="C12" s="3">
        <v>4.5</v>
      </c>
      <c r="D12" s="3">
        <v>0.26500000000000001</v>
      </c>
      <c r="E12" s="3">
        <f>(C12 - MIN(C:C)) / (MAX(C:C) - MIN(C:C))</f>
        <v>9.2812281926029319E-2</v>
      </c>
      <c r="F12" s="3">
        <f>1 - ((D12 - MIN(D:D)) / (MAX(D:D) - MIN(D:D)))</f>
        <v>0.2139737991266375</v>
      </c>
      <c r="G12" s="3">
        <f>0.5 *E12+0.5*F12</f>
        <v>0.1533930405263334</v>
      </c>
      <c r="H12" s="4">
        <v>14</v>
      </c>
      <c r="I12" s="4">
        <v>5</v>
      </c>
      <c r="J12" s="5">
        <f>(I12/H12)</f>
        <v>0.35714285714285715</v>
      </c>
      <c r="K12" s="2" t="s">
        <v>110</v>
      </c>
    </row>
    <row r="13" spans="1:11" x14ac:dyDescent="0.3">
      <c r="A13" s="2" t="s">
        <v>83</v>
      </c>
      <c r="B13" s="2" t="s">
        <v>6</v>
      </c>
      <c r="C13" s="3">
        <v>4.58</v>
      </c>
      <c r="D13" s="3">
        <v>0.26600000000000001</v>
      </c>
      <c r="E13" s="3">
        <f>(C13 - MIN(C:C)) / (MAX(C:C) - MIN(C:C))</f>
        <v>9.8394975575715291E-2</v>
      </c>
      <c r="F13" s="3">
        <f>1 - ((D13 - MIN(D:D)) / (MAX(D:D) - MIN(D:D)))</f>
        <v>0.20960698689956325</v>
      </c>
      <c r="G13" s="3">
        <f>0.5 *E13+0.5*F13</f>
        <v>0.15400098123763928</v>
      </c>
      <c r="H13" s="4">
        <v>16</v>
      </c>
      <c r="I13" s="4">
        <v>12</v>
      </c>
      <c r="J13" s="5">
        <f>(I13/H13)</f>
        <v>0.75</v>
      </c>
      <c r="K13" s="2" t="s">
        <v>105</v>
      </c>
    </row>
    <row r="14" spans="1:11" x14ac:dyDescent="0.3">
      <c r="A14" s="2" t="s">
        <v>94</v>
      </c>
      <c r="B14" s="2" t="s">
        <v>6</v>
      </c>
      <c r="C14" s="3">
        <v>3.17</v>
      </c>
      <c r="D14" s="3">
        <v>0.23599999999999999</v>
      </c>
      <c r="E14" s="3">
        <f>(C14 - MIN(C:C)) / (MAX(C:C) - MIN(C:C))</f>
        <v>0</v>
      </c>
      <c r="F14" s="3">
        <f>1 - ((D14 - MIN(D:D)) / (MAX(D:D) - MIN(D:D)))</f>
        <v>0.34061135371179052</v>
      </c>
      <c r="G14" s="3">
        <f>0.5 *E14+0.5*F14</f>
        <v>0.17030567685589526</v>
      </c>
      <c r="H14" s="4">
        <v>19</v>
      </c>
      <c r="I14" s="4">
        <v>15</v>
      </c>
      <c r="J14" s="5">
        <f>(I14/H14)</f>
        <v>0.78947368421052633</v>
      </c>
      <c r="K14" s="2" t="s">
        <v>110</v>
      </c>
    </row>
    <row r="15" spans="1:11" x14ac:dyDescent="0.3">
      <c r="A15" s="2" t="s">
        <v>78</v>
      </c>
      <c r="B15" s="2" t="s">
        <v>6</v>
      </c>
      <c r="C15" s="3">
        <v>4.72</v>
      </c>
      <c r="D15" s="3">
        <v>0.25800000000000001</v>
      </c>
      <c r="E15" s="3">
        <f>(C15 - MIN(C:C)) / (MAX(C:C) - MIN(C:C))</f>
        <v>0.10816468946266572</v>
      </c>
      <c r="F15" s="3">
        <f>1 - ((D15 - MIN(D:D)) / (MAX(D:D) - MIN(D:D)))</f>
        <v>0.24454148471615722</v>
      </c>
      <c r="G15" s="3">
        <f>0.5 *E15+0.5*F15</f>
        <v>0.17635308708941147</v>
      </c>
      <c r="H15" s="4">
        <v>17</v>
      </c>
      <c r="I15" s="4">
        <v>9</v>
      </c>
      <c r="J15" s="5">
        <f>(I15/H15)</f>
        <v>0.52941176470588236</v>
      </c>
      <c r="K15" s="2" t="s">
        <v>103</v>
      </c>
    </row>
    <row r="16" spans="1:11" x14ac:dyDescent="0.3">
      <c r="A16" s="2" t="s">
        <v>80</v>
      </c>
      <c r="B16" s="2" t="s">
        <v>50</v>
      </c>
      <c r="C16" s="3">
        <v>5</v>
      </c>
      <c r="D16" s="3">
        <v>0.25800000000000001</v>
      </c>
      <c r="E16" s="3">
        <f>(C16 - MIN(C:C)) / (MAX(C:C) - MIN(C:C))</f>
        <v>0.12770411723656666</v>
      </c>
      <c r="F16" s="3">
        <f>1 - ((D16 - MIN(D:D)) / (MAX(D:D) - MIN(D:D)))</f>
        <v>0.24454148471615722</v>
      </c>
      <c r="G16" s="3">
        <f>0.5 *E16+0.5*F16</f>
        <v>0.18612280097636194</v>
      </c>
      <c r="H16" s="4">
        <v>19</v>
      </c>
      <c r="I16" s="4">
        <v>11</v>
      </c>
      <c r="J16" s="5">
        <f>(I16/H16)</f>
        <v>0.57894736842105265</v>
      </c>
      <c r="K16" s="2" t="s">
        <v>106</v>
      </c>
    </row>
    <row r="17" spans="1:11" x14ac:dyDescent="0.3">
      <c r="A17" s="2" t="s">
        <v>86</v>
      </c>
      <c r="B17" s="2" t="s">
        <v>6</v>
      </c>
      <c r="C17" s="3">
        <v>3.75</v>
      </c>
      <c r="D17" s="3">
        <v>0.23799999999999999</v>
      </c>
      <c r="E17" s="3">
        <f>(C17 - MIN(C:C)) / (MAX(C:C) - MIN(C:C))</f>
        <v>4.0474528960223313E-2</v>
      </c>
      <c r="F17" s="3">
        <f>1 - ((D17 - MIN(D:D)) / (MAX(D:D) - MIN(D:D)))</f>
        <v>0.33187772925764203</v>
      </c>
      <c r="G17" s="3">
        <f>0.5 *E17+0.5*F17</f>
        <v>0.18617612910893266</v>
      </c>
      <c r="H17" s="4">
        <v>8</v>
      </c>
      <c r="I17" s="4">
        <v>4</v>
      </c>
      <c r="J17" s="5">
        <f>(I17/H17)</f>
        <v>0.5</v>
      </c>
      <c r="K17" s="2" t="s">
        <v>108</v>
      </c>
    </row>
    <row r="18" spans="1:11" x14ac:dyDescent="0.3">
      <c r="A18" s="2" t="s">
        <v>83</v>
      </c>
      <c r="B18" s="2" t="s">
        <v>6</v>
      </c>
      <c r="C18" s="3">
        <v>5.78</v>
      </c>
      <c r="D18" s="3">
        <v>0.27</v>
      </c>
      <c r="E18" s="3">
        <f>(C18 - MIN(C:C)) / (MAX(C:C) - MIN(C:C))</f>
        <v>0.1821353803210049</v>
      </c>
      <c r="F18" s="3">
        <f>1 - ((D18 - MIN(D:D)) / (MAX(D:D) - MIN(D:D)))</f>
        <v>0.19213973799126627</v>
      </c>
      <c r="G18" s="3">
        <f>0.5 *E18+0.5*F18</f>
        <v>0.18713755915613559</v>
      </c>
      <c r="H18" s="4">
        <v>19</v>
      </c>
      <c r="I18" s="4">
        <v>11</v>
      </c>
      <c r="J18" s="5">
        <f>(I18/H18)</f>
        <v>0.57894736842105265</v>
      </c>
      <c r="K18" s="2" t="s">
        <v>105</v>
      </c>
    </row>
    <row r="19" spans="1:11" x14ac:dyDescent="0.3">
      <c r="A19" s="2" t="s">
        <v>97</v>
      </c>
      <c r="B19" s="2" t="s">
        <v>14</v>
      </c>
      <c r="C19" s="3">
        <v>6.39</v>
      </c>
      <c r="D19" s="3">
        <v>0.27800000000000002</v>
      </c>
      <c r="E19" s="3">
        <f>(C19 - MIN(C:C)) / (MAX(C:C) - MIN(C:C))</f>
        <v>0.22470341939986041</v>
      </c>
      <c r="F19" s="3">
        <f>1 - ((D19 - MIN(D:D)) / (MAX(D:D) - MIN(D:D)))</f>
        <v>0.15720524017467241</v>
      </c>
      <c r="G19" s="3">
        <f>0.5 *E19+0.5*F19</f>
        <v>0.1909543297872664</v>
      </c>
      <c r="H19" s="4">
        <v>18</v>
      </c>
      <c r="I19" s="4">
        <v>9</v>
      </c>
      <c r="J19" s="5">
        <f>(I19/H19)</f>
        <v>0.5</v>
      </c>
      <c r="K19" s="2" t="s">
        <v>107</v>
      </c>
    </row>
    <row r="20" spans="1:11" x14ac:dyDescent="0.3">
      <c r="A20" s="2" t="s">
        <v>92</v>
      </c>
      <c r="B20" s="2" t="s">
        <v>6</v>
      </c>
      <c r="C20" s="3">
        <v>5.96</v>
      </c>
      <c r="D20" s="3">
        <v>0.26900000000000002</v>
      </c>
      <c r="E20" s="3">
        <f>(C20 - MIN(C:C)) / (MAX(C:C) - MIN(C:C))</f>
        <v>0.19469644103279832</v>
      </c>
      <c r="F20" s="3">
        <f>1 - ((D20 - MIN(D:D)) / (MAX(D:D) - MIN(D:D)))</f>
        <v>0.19650655021834051</v>
      </c>
      <c r="G20" s="3">
        <f>0.5 *E20+0.5*F20</f>
        <v>0.19560149562556942</v>
      </c>
      <c r="H20" s="4">
        <v>16</v>
      </c>
      <c r="I20" s="4">
        <v>14</v>
      </c>
      <c r="J20" s="5">
        <f>(I20/H20)</f>
        <v>0.875</v>
      </c>
      <c r="K20" s="2" t="s">
        <v>104</v>
      </c>
    </row>
    <row r="21" spans="1:11" x14ac:dyDescent="0.3">
      <c r="A21" s="2" t="s">
        <v>99</v>
      </c>
      <c r="B21" s="2" t="s">
        <v>6</v>
      </c>
      <c r="C21" s="3">
        <v>6.79</v>
      </c>
      <c r="D21" s="3">
        <v>0.28199999999999997</v>
      </c>
      <c r="E21" s="3">
        <f>(C21 - MIN(C:C)) / (MAX(C:C) - MIN(C:C))</f>
        <v>0.25261688764829032</v>
      </c>
      <c r="F21" s="3">
        <f>1 - ((D21 - MIN(D:D)) / (MAX(D:D) - MIN(D:D)))</f>
        <v>0.13973799126637565</v>
      </c>
      <c r="G21" s="3">
        <f>0.5 *E21+0.5*F21</f>
        <v>0.19617743945733299</v>
      </c>
      <c r="H21" s="4">
        <v>16</v>
      </c>
      <c r="I21" s="4">
        <v>7</v>
      </c>
      <c r="J21" s="5">
        <f>(I21/H21)</f>
        <v>0.4375</v>
      </c>
      <c r="K21" s="2" t="s">
        <v>107</v>
      </c>
    </row>
    <row r="22" spans="1:11" x14ac:dyDescent="0.3">
      <c r="A22" s="2" t="s">
        <v>100</v>
      </c>
      <c r="B22" s="2" t="s">
        <v>11</v>
      </c>
      <c r="C22" s="3">
        <v>6.59</v>
      </c>
      <c r="D22" s="3">
        <v>0.27700000000000002</v>
      </c>
      <c r="E22" s="3">
        <f>(C22 - MIN(C:C)) / (MAX(C:C) - MIN(C:C))</f>
        <v>0.23866015352407535</v>
      </c>
      <c r="F22" s="3">
        <f>1 - ((D22 - MIN(D:D)) / (MAX(D:D) - MIN(D:D)))</f>
        <v>0.16157205240174666</v>
      </c>
      <c r="G22" s="3">
        <f>0.5 *E22+0.5*F22</f>
        <v>0.20011610296291099</v>
      </c>
      <c r="H22" s="4">
        <v>19</v>
      </c>
      <c r="I22" s="4">
        <v>13</v>
      </c>
      <c r="J22" s="5">
        <f>(I22/H22)</f>
        <v>0.68421052631578949</v>
      </c>
      <c r="K22" s="2" t="s">
        <v>107</v>
      </c>
    </row>
    <row r="23" spans="1:11" x14ac:dyDescent="0.3">
      <c r="A23" s="2" t="s">
        <v>94</v>
      </c>
      <c r="B23" s="2" t="s">
        <v>31</v>
      </c>
      <c r="C23" s="3">
        <v>5.36</v>
      </c>
      <c r="D23" s="3">
        <v>0.253</v>
      </c>
      <c r="E23" s="3">
        <f>(C23 - MIN(C:C)) / (MAX(C:C) - MIN(C:C))</f>
        <v>0.15282623866015355</v>
      </c>
      <c r="F23" s="3">
        <f>1 - ((D23 - MIN(D:D)) / (MAX(D:D) - MIN(D:D)))</f>
        <v>0.26637554585152845</v>
      </c>
      <c r="G23" s="3">
        <f>0.5 *E23+0.5*F23</f>
        <v>0.209600892255841</v>
      </c>
      <c r="H23" s="4">
        <v>11</v>
      </c>
      <c r="I23" s="4">
        <v>8</v>
      </c>
      <c r="J23" s="5">
        <f>(I23/H23)</f>
        <v>0.72727272727272729</v>
      </c>
      <c r="K23" s="2" t="s">
        <v>110</v>
      </c>
    </row>
    <row r="24" spans="1:11" x14ac:dyDescent="0.3">
      <c r="A24" s="2" t="s">
        <v>92</v>
      </c>
      <c r="B24" s="2" t="s">
        <v>6</v>
      </c>
      <c r="C24" s="3">
        <v>5</v>
      </c>
      <c r="D24" s="3">
        <v>0.246</v>
      </c>
      <c r="E24" s="3">
        <f>(C24 - MIN(C:C)) / (MAX(C:C) - MIN(C:C))</f>
        <v>0.12770411723656666</v>
      </c>
      <c r="F24" s="3">
        <f>1 - ((D24 - MIN(D:D)) / (MAX(D:D) - MIN(D:D)))</f>
        <v>0.29694323144104806</v>
      </c>
      <c r="G24" s="3">
        <f>0.5 *E24+0.5*F24</f>
        <v>0.21232367433880736</v>
      </c>
      <c r="H24" s="4">
        <v>16</v>
      </c>
      <c r="I24" s="4">
        <v>6</v>
      </c>
      <c r="J24" s="5">
        <f>(I24/H24)</f>
        <v>0.375</v>
      </c>
      <c r="K24" s="2" t="s">
        <v>104</v>
      </c>
    </row>
    <row r="25" spans="1:11" x14ac:dyDescent="0.3">
      <c r="A25" s="2" t="s">
        <v>92</v>
      </c>
      <c r="B25" s="2" t="s">
        <v>59</v>
      </c>
      <c r="C25" s="3">
        <v>4</v>
      </c>
      <c r="D25" s="3">
        <v>0.22800000000000001</v>
      </c>
      <c r="E25" s="3">
        <f>(C25 - MIN(C:C)) / (MAX(C:C) - MIN(C:C))</f>
        <v>5.7920446615491977E-2</v>
      </c>
      <c r="F25" s="3">
        <f>1 - ((D25 - MIN(D:D)) / (MAX(D:D) - MIN(D:D)))</f>
        <v>0.37554585152838416</v>
      </c>
      <c r="G25" s="3">
        <f>0.5 *E25+0.5*F25</f>
        <v>0.21673314907193808</v>
      </c>
      <c r="H25" s="4">
        <v>18</v>
      </c>
      <c r="I25" s="4">
        <v>11</v>
      </c>
      <c r="J25" s="5">
        <f>(I25/H25)</f>
        <v>0.61111111111111116</v>
      </c>
      <c r="K25" s="2" t="s">
        <v>104</v>
      </c>
    </row>
    <row r="26" spans="1:11" x14ac:dyDescent="0.3">
      <c r="A26" s="2" t="s">
        <v>86</v>
      </c>
      <c r="B26" s="2" t="s">
        <v>6</v>
      </c>
      <c r="C26" s="3">
        <v>4.5</v>
      </c>
      <c r="D26" s="3">
        <v>0.23499999999999999</v>
      </c>
      <c r="E26" s="3">
        <f>(C26 - MIN(C:C)) / (MAX(C:C) - MIN(C:C))</f>
        <v>9.2812281926029319E-2</v>
      </c>
      <c r="F26" s="3">
        <f>1 - ((D26 - MIN(D:D)) / (MAX(D:D) - MIN(D:D)))</f>
        <v>0.34497816593886477</v>
      </c>
      <c r="G26" s="3">
        <f>0.5 *E26+0.5*F26</f>
        <v>0.21889522393244704</v>
      </c>
      <c r="H26" s="4">
        <v>17</v>
      </c>
      <c r="I26" s="4">
        <v>12</v>
      </c>
      <c r="J26" s="5">
        <f>(I26/H26)</f>
        <v>0.70588235294117652</v>
      </c>
      <c r="K26" s="2" t="s">
        <v>108</v>
      </c>
    </row>
    <row r="27" spans="1:11" x14ac:dyDescent="0.3">
      <c r="A27" s="2" t="s">
        <v>82</v>
      </c>
      <c r="B27" s="2" t="s">
        <v>6</v>
      </c>
      <c r="C27" s="3">
        <v>4.74</v>
      </c>
      <c r="D27" s="3">
        <v>0.23599999999999999</v>
      </c>
      <c r="E27" s="3">
        <f>(C27 - MIN(C:C)) / (MAX(C:C) - MIN(C:C))</f>
        <v>0.10956036287508725</v>
      </c>
      <c r="F27" s="3">
        <f>1 - ((D27 - MIN(D:D)) / (MAX(D:D) - MIN(D:D)))</f>
        <v>0.34061135371179052</v>
      </c>
      <c r="G27" s="3">
        <f>0.5 *E27+0.5*F27</f>
        <v>0.22508585829343888</v>
      </c>
      <c r="H27" s="4">
        <v>19</v>
      </c>
      <c r="I27" s="4">
        <v>7</v>
      </c>
      <c r="J27" s="5">
        <f>(I27/H27)</f>
        <v>0.36842105263157893</v>
      </c>
      <c r="K27" s="2" t="s">
        <v>105</v>
      </c>
    </row>
    <row r="28" spans="1:11" x14ac:dyDescent="0.3">
      <c r="A28" s="2" t="s">
        <v>82</v>
      </c>
      <c r="B28" s="2" t="s">
        <v>6</v>
      </c>
      <c r="C28" s="3">
        <v>4.5</v>
      </c>
      <c r="D28" s="3">
        <v>0.23100000000000001</v>
      </c>
      <c r="E28" s="3">
        <f>(C28 - MIN(C:C)) / (MAX(C:C) - MIN(C:C))</f>
        <v>9.2812281926029319E-2</v>
      </c>
      <c r="F28" s="3">
        <f>1 - ((D28 - MIN(D:D)) / (MAX(D:D) - MIN(D:D)))</f>
        <v>0.36244541484716142</v>
      </c>
      <c r="G28" s="3">
        <f>0.5 *E28+0.5*F28</f>
        <v>0.22762884838659536</v>
      </c>
      <c r="H28" s="4">
        <v>7</v>
      </c>
      <c r="I28" s="4">
        <v>5</v>
      </c>
      <c r="J28" s="5">
        <f>(I28/H28)</f>
        <v>0.7142857142857143</v>
      </c>
      <c r="K28" s="2" t="s">
        <v>105</v>
      </c>
    </row>
    <row r="29" spans="1:11" x14ac:dyDescent="0.3">
      <c r="A29" s="2" t="s">
        <v>78</v>
      </c>
      <c r="B29" s="2" t="s">
        <v>6</v>
      </c>
      <c r="C29" s="3">
        <v>4.83</v>
      </c>
      <c r="D29" s="3">
        <v>0.23499999999999999</v>
      </c>
      <c r="E29" s="3">
        <f>(C29 - MIN(C:C)) / (MAX(C:C) - MIN(C:C))</f>
        <v>0.11584089323098395</v>
      </c>
      <c r="F29" s="3">
        <f>1 - ((D29 - MIN(D:D)) / (MAX(D:D) - MIN(D:D)))</f>
        <v>0.34497816593886477</v>
      </c>
      <c r="G29" s="3">
        <f>0.5 *E29+0.5*F29</f>
        <v>0.23040952958492436</v>
      </c>
      <c r="H29" s="4">
        <v>19</v>
      </c>
      <c r="I29" s="4">
        <v>15</v>
      </c>
      <c r="J29" s="5">
        <f>(I29/H29)</f>
        <v>0.78947368421052633</v>
      </c>
      <c r="K29" s="2" t="s">
        <v>103</v>
      </c>
    </row>
    <row r="30" spans="1:11" x14ac:dyDescent="0.3">
      <c r="A30" s="2" t="s">
        <v>94</v>
      </c>
      <c r="B30" s="2" t="s">
        <v>6</v>
      </c>
      <c r="C30" s="3">
        <v>5.42</v>
      </c>
      <c r="D30" s="3">
        <v>0.24399999999999999</v>
      </c>
      <c r="E30" s="3">
        <f>(C30 - MIN(C:C)) / (MAX(C:C) - MIN(C:C))</f>
        <v>0.15701325889741799</v>
      </c>
      <c r="F30" s="3">
        <f>1 - ((D30 - MIN(D:D)) / (MAX(D:D) - MIN(D:D)))</f>
        <v>0.30567685589519655</v>
      </c>
      <c r="G30" s="3">
        <f>0.5 *E30+0.5*F30</f>
        <v>0.23134505739630729</v>
      </c>
      <c r="H30" s="4">
        <v>19</v>
      </c>
      <c r="I30" s="4">
        <v>14</v>
      </c>
      <c r="J30" s="5">
        <f>(I30/H30)</f>
        <v>0.73684210526315785</v>
      </c>
      <c r="K30" s="2" t="s">
        <v>110</v>
      </c>
    </row>
    <row r="31" spans="1:11" x14ac:dyDescent="0.3">
      <c r="A31" s="2" t="s">
        <v>77</v>
      </c>
      <c r="B31" s="2" t="s">
        <v>14</v>
      </c>
      <c r="C31" s="3">
        <v>5.36</v>
      </c>
      <c r="D31" s="3">
        <v>0.24099999999999999</v>
      </c>
      <c r="E31" s="3">
        <f>(C31 - MIN(C:C)) / (MAX(C:C) - MIN(C:C))</f>
        <v>0.15282623866015355</v>
      </c>
      <c r="F31" s="3">
        <f>1 - ((D31 - MIN(D:D)) / (MAX(D:D) - MIN(D:D)))</f>
        <v>0.31877729257641929</v>
      </c>
      <c r="G31" s="3">
        <f>0.5 *E31+0.5*F31</f>
        <v>0.23580176561828642</v>
      </c>
      <c r="H31" s="4">
        <v>15</v>
      </c>
      <c r="I31" s="4">
        <v>7</v>
      </c>
      <c r="J31" s="5">
        <f>(I31/H31)</f>
        <v>0.46666666666666667</v>
      </c>
      <c r="K31" s="2" t="s">
        <v>103</v>
      </c>
    </row>
    <row r="32" spans="1:11" x14ac:dyDescent="0.3">
      <c r="A32" s="2" t="s">
        <v>83</v>
      </c>
      <c r="B32" s="2" t="s">
        <v>6</v>
      </c>
      <c r="C32" s="3">
        <v>5.42</v>
      </c>
      <c r="D32" s="3">
        <v>0.24099999999999999</v>
      </c>
      <c r="E32" s="3">
        <f>(C32 - MIN(C:C)) / (MAX(C:C) - MIN(C:C))</f>
        <v>0.15701325889741799</v>
      </c>
      <c r="F32" s="3">
        <f>1 - ((D32 - MIN(D:D)) / (MAX(D:D) - MIN(D:D)))</f>
        <v>0.31877729257641929</v>
      </c>
      <c r="G32" s="3">
        <f>0.5 *E32+0.5*F32</f>
        <v>0.23789527573691865</v>
      </c>
      <c r="H32" s="4">
        <v>16</v>
      </c>
      <c r="I32" s="4">
        <v>13</v>
      </c>
      <c r="J32" s="5">
        <f>(I32/H32)</f>
        <v>0.8125</v>
      </c>
      <c r="K32" s="2" t="s">
        <v>105</v>
      </c>
    </row>
    <row r="33" spans="1:11" x14ac:dyDescent="0.3">
      <c r="A33" s="2" t="s">
        <v>92</v>
      </c>
      <c r="B33" s="2" t="s">
        <v>37</v>
      </c>
      <c r="C33" s="3">
        <v>6.94</v>
      </c>
      <c r="D33" s="3">
        <v>0.26400000000000001</v>
      </c>
      <c r="E33" s="3">
        <f>(C33 - MIN(C:C)) / (MAX(C:C) - MIN(C:C))</f>
        <v>0.26308443824145156</v>
      </c>
      <c r="F33" s="3">
        <f>1 - ((D33 - MIN(D:D)) / (MAX(D:D) - MIN(D:D)))</f>
        <v>0.21834061135371174</v>
      </c>
      <c r="G33" s="3">
        <f>0.5 *E33+0.5*F33</f>
        <v>0.24071252479758165</v>
      </c>
      <c r="H33" s="4">
        <v>16</v>
      </c>
      <c r="I33" s="4">
        <v>10</v>
      </c>
      <c r="J33" s="5">
        <f>(I33/H33)</f>
        <v>0.625</v>
      </c>
      <c r="K33" s="2" t="s">
        <v>104</v>
      </c>
    </row>
    <row r="34" spans="1:11" x14ac:dyDescent="0.3">
      <c r="A34" s="2" t="s">
        <v>91</v>
      </c>
      <c r="B34" s="2" t="s">
        <v>6</v>
      </c>
      <c r="C34" s="3">
        <v>5.5</v>
      </c>
      <c r="D34" s="3">
        <v>0.24</v>
      </c>
      <c r="E34" s="3">
        <f>(C34 - MIN(C:C)) / (MAX(C:C) - MIN(C:C))</f>
        <v>0.16259595254710399</v>
      </c>
      <c r="F34" s="3">
        <f>1 - ((D34 - MIN(D:D)) / (MAX(D:D) - MIN(D:D)))</f>
        <v>0.32314410480349354</v>
      </c>
      <c r="G34" s="3">
        <f>0.5 *E34+0.5*F34</f>
        <v>0.24287002867529878</v>
      </c>
      <c r="H34" s="4">
        <v>15</v>
      </c>
      <c r="I34" s="4">
        <v>10</v>
      </c>
      <c r="J34" s="5">
        <f>(I34/H34)</f>
        <v>0.66666666666666663</v>
      </c>
      <c r="K34" s="2" t="s">
        <v>104</v>
      </c>
    </row>
    <row r="35" spans="1:11" x14ac:dyDescent="0.3">
      <c r="A35" s="2" t="s">
        <v>84</v>
      </c>
      <c r="B35" s="2" t="s">
        <v>49</v>
      </c>
      <c r="C35" s="3">
        <v>6.89</v>
      </c>
      <c r="D35" s="3">
        <v>0.26200000000000001</v>
      </c>
      <c r="E35" s="3">
        <f>(C35 - MIN(C:C)) / (MAX(C:C) - MIN(C:C))</f>
        <v>0.25959525471039774</v>
      </c>
      <c r="F35" s="3">
        <f>1 - ((D35 - MIN(D:D)) / (MAX(D:D) - MIN(D:D)))</f>
        <v>0.22707423580786024</v>
      </c>
      <c r="G35" s="3">
        <f>0.5 *E35+0.5*F35</f>
        <v>0.24333474525912899</v>
      </c>
      <c r="H35" s="4">
        <v>11</v>
      </c>
      <c r="I35" s="4">
        <v>7</v>
      </c>
      <c r="J35" s="5">
        <f>(I35/H35)</f>
        <v>0.63636363636363635</v>
      </c>
      <c r="K35" s="2" t="s">
        <v>105</v>
      </c>
    </row>
    <row r="36" spans="1:11" x14ac:dyDescent="0.3">
      <c r="A36" s="2" t="s">
        <v>79</v>
      </c>
      <c r="B36" s="2" t="s">
        <v>6</v>
      </c>
      <c r="C36" s="3">
        <v>6.25</v>
      </c>
      <c r="D36" s="3">
        <v>0.251</v>
      </c>
      <c r="E36" s="3">
        <f>(C36 - MIN(C:C)) / (MAX(C:C) - MIN(C:C))</f>
        <v>0.21493370551290999</v>
      </c>
      <c r="F36" s="3">
        <f>1 - ((D36 - MIN(D:D)) / (MAX(D:D) - MIN(D:D)))</f>
        <v>0.27510917030567683</v>
      </c>
      <c r="G36" s="3">
        <f>0.5 *E36+0.5*F36</f>
        <v>0.24502143790929343</v>
      </c>
      <c r="H36" s="4">
        <v>19</v>
      </c>
      <c r="I36" s="4">
        <v>12</v>
      </c>
      <c r="J36" s="5">
        <f>(I36/H36)</f>
        <v>0.63157894736842102</v>
      </c>
      <c r="K36" s="2" t="s">
        <v>103</v>
      </c>
    </row>
    <row r="37" spans="1:11" x14ac:dyDescent="0.3">
      <c r="A37" s="2" t="s">
        <v>89</v>
      </c>
      <c r="B37" s="2" t="s">
        <v>60</v>
      </c>
      <c r="C37" s="3">
        <v>3.75</v>
      </c>
      <c r="D37" s="3">
        <v>0.21</v>
      </c>
      <c r="E37" s="3">
        <f>(C37 - MIN(C:C)) / (MAX(C:C) - MIN(C:C))</f>
        <v>4.0474528960223313E-2</v>
      </c>
      <c r="F37" s="3">
        <f>1 - ((D37 - MIN(D:D)) / (MAX(D:D) - MIN(D:D)))</f>
        <v>0.45414847161572058</v>
      </c>
      <c r="G37" s="3">
        <f>0.5 *E37+0.5*F37</f>
        <v>0.24731150028797194</v>
      </c>
      <c r="H37" s="4">
        <v>12</v>
      </c>
      <c r="I37" s="4">
        <v>4</v>
      </c>
      <c r="J37" s="5">
        <f>(I37/H37)</f>
        <v>0.33333333333333331</v>
      </c>
      <c r="K37" s="2" t="s">
        <v>109</v>
      </c>
    </row>
    <row r="38" spans="1:11" x14ac:dyDescent="0.3">
      <c r="A38" s="2" t="s">
        <v>99</v>
      </c>
      <c r="B38" s="2" t="s">
        <v>36</v>
      </c>
      <c r="C38" s="3">
        <v>5.28</v>
      </c>
      <c r="D38" s="3">
        <v>0.23400000000000001</v>
      </c>
      <c r="E38" s="3">
        <f>(C38 - MIN(C:C)) / (MAX(C:C) - MIN(C:C))</f>
        <v>0.14724354501046757</v>
      </c>
      <c r="F38" s="3">
        <f>1 - ((D38 - MIN(D:D)) / (MAX(D:D) - MIN(D:D)))</f>
        <v>0.34934497816593868</v>
      </c>
      <c r="G38" s="3">
        <f>0.5 *E38+0.5*F38</f>
        <v>0.24829426158820311</v>
      </c>
      <c r="H38" s="4">
        <v>14</v>
      </c>
      <c r="I38" s="4">
        <v>10</v>
      </c>
      <c r="J38" s="5">
        <f>(I38/H38)</f>
        <v>0.7142857142857143</v>
      </c>
      <c r="K38" s="2" t="s">
        <v>107</v>
      </c>
    </row>
    <row r="39" spans="1:11" x14ac:dyDescent="0.3">
      <c r="A39" s="2" t="s">
        <v>92</v>
      </c>
      <c r="B39" s="2" t="s">
        <v>20</v>
      </c>
      <c r="C39" s="3">
        <v>4.72</v>
      </c>
      <c r="D39" s="3">
        <v>0.22500000000000001</v>
      </c>
      <c r="E39" s="3">
        <f>(C39 - MIN(C:C)) / (MAX(C:C) - MIN(C:C))</f>
        <v>0.10816468946266572</v>
      </c>
      <c r="F39" s="3">
        <f>1 - ((D39 - MIN(D:D)) / (MAX(D:D) - MIN(D:D)))</f>
        <v>0.38864628820960689</v>
      </c>
      <c r="G39" s="3">
        <f>0.5 *E39+0.5*F39</f>
        <v>0.24840548883613631</v>
      </c>
      <c r="H39" s="4">
        <v>11</v>
      </c>
      <c r="I39" s="4">
        <v>9</v>
      </c>
      <c r="J39" s="5">
        <f>(I39/H39)</f>
        <v>0.81818181818181823</v>
      </c>
      <c r="K39" s="2" t="s">
        <v>104</v>
      </c>
    </row>
    <row r="40" spans="1:11" x14ac:dyDescent="0.3">
      <c r="A40" s="2" t="s">
        <v>77</v>
      </c>
      <c r="B40" s="2" t="s">
        <v>34</v>
      </c>
      <c r="C40" s="3">
        <v>4.6399999999999997</v>
      </c>
      <c r="D40" s="3">
        <v>0.222</v>
      </c>
      <c r="E40" s="3">
        <f>(C40 - MIN(C:C)) / (MAX(C:C) - MIN(C:C))</f>
        <v>0.10258199581297975</v>
      </c>
      <c r="F40" s="3">
        <f>1 - ((D40 - MIN(D:D)) / (MAX(D:D) - MIN(D:D)))</f>
        <v>0.40174672489082963</v>
      </c>
      <c r="G40" s="3">
        <f>0.5 *E40+0.5*F40</f>
        <v>0.2521643603519047</v>
      </c>
      <c r="H40" s="4">
        <v>19</v>
      </c>
      <c r="I40" s="4">
        <v>14</v>
      </c>
      <c r="J40" s="5">
        <f>(I40/H40)</f>
        <v>0.73684210526315785</v>
      </c>
      <c r="K40" s="2" t="s">
        <v>103</v>
      </c>
    </row>
    <row r="41" spans="1:11" x14ac:dyDescent="0.3">
      <c r="A41" s="2" t="s">
        <v>95</v>
      </c>
      <c r="B41" s="2" t="s">
        <v>6</v>
      </c>
      <c r="C41" s="3">
        <v>5.28</v>
      </c>
      <c r="D41" s="3">
        <v>0.23200000000000001</v>
      </c>
      <c r="E41" s="3">
        <f>(C41 - MIN(C:C)) / (MAX(C:C) - MIN(C:C))</f>
        <v>0.14724354501046757</v>
      </c>
      <c r="F41" s="3">
        <f>1 - ((D41 - MIN(D:D)) / (MAX(D:D) - MIN(D:D)))</f>
        <v>0.35807860262008717</v>
      </c>
      <c r="G41" s="3">
        <f>0.5 *E41+0.5*F41</f>
        <v>0.25266107381527736</v>
      </c>
      <c r="H41" s="4">
        <v>19</v>
      </c>
      <c r="I41" s="4">
        <v>9</v>
      </c>
      <c r="J41" s="5">
        <f>(I41/H41)</f>
        <v>0.47368421052631576</v>
      </c>
      <c r="K41" s="2" t="s">
        <v>110</v>
      </c>
    </row>
    <row r="42" spans="1:11" x14ac:dyDescent="0.3">
      <c r="A42" s="2" t="s">
        <v>77</v>
      </c>
      <c r="B42" s="2" t="s">
        <v>6</v>
      </c>
      <c r="C42" s="3">
        <v>5.68</v>
      </c>
      <c r="D42" s="3">
        <v>0.23799999999999999</v>
      </c>
      <c r="E42" s="3">
        <f>(C42 - MIN(C:C)) / (MAX(C:C) - MIN(C:C))</f>
        <v>0.1751570132588974</v>
      </c>
      <c r="F42" s="3">
        <f>1 - ((D42 - MIN(D:D)) / (MAX(D:D) - MIN(D:D)))</f>
        <v>0.33187772925764203</v>
      </c>
      <c r="G42" s="3">
        <f>0.5 *E42+0.5*F42</f>
        <v>0.25351737125826973</v>
      </c>
      <c r="H42" s="4">
        <v>19</v>
      </c>
      <c r="I42" s="4">
        <v>11</v>
      </c>
      <c r="J42" s="5">
        <f>(I42/H42)</f>
        <v>0.57894736842105265</v>
      </c>
      <c r="K42" s="2" t="s">
        <v>103</v>
      </c>
    </row>
    <row r="43" spans="1:11" x14ac:dyDescent="0.3">
      <c r="A43" s="2" t="s">
        <v>96</v>
      </c>
      <c r="B43" s="2" t="s">
        <v>43</v>
      </c>
      <c r="C43" s="3">
        <v>5</v>
      </c>
      <c r="D43" s="3">
        <v>0.22700000000000001</v>
      </c>
      <c r="E43" s="3">
        <f>(C43 - MIN(C:C)) / (MAX(C:C) - MIN(C:C))</f>
        <v>0.12770411723656666</v>
      </c>
      <c r="F43" s="3">
        <f>1 - ((D43 - MIN(D:D)) / (MAX(D:D) - MIN(D:D)))</f>
        <v>0.3799126637554584</v>
      </c>
      <c r="G43" s="3">
        <f>0.5 *E43+0.5*F43</f>
        <v>0.25380839049601256</v>
      </c>
      <c r="H43" s="4">
        <v>18</v>
      </c>
      <c r="I43" s="4">
        <v>10</v>
      </c>
      <c r="J43" s="5">
        <f>(I43/H43)</f>
        <v>0.55555555555555558</v>
      </c>
      <c r="K43" s="2" t="s">
        <v>110</v>
      </c>
    </row>
    <row r="44" spans="1:11" x14ac:dyDescent="0.3">
      <c r="A44" s="2" t="s">
        <v>90</v>
      </c>
      <c r="B44" s="2" t="s">
        <v>6</v>
      </c>
      <c r="C44" s="3">
        <v>8.06</v>
      </c>
      <c r="D44" s="3">
        <v>0.27500000000000002</v>
      </c>
      <c r="E44" s="3">
        <f>(C44 - MIN(C:C)) / (MAX(C:C) - MIN(C:C))</f>
        <v>0.34124214933705516</v>
      </c>
      <c r="F44" s="3">
        <f>1 - ((D44 - MIN(D:D)) / (MAX(D:D) - MIN(D:D)))</f>
        <v>0.17030567685589515</v>
      </c>
      <c r="G44" s="3">
        <f>0.5 *E44+0.5*F44</f>
        <v>0.25577391309647513</v>
      </c>
      <c r="H44" s="4">
        <v>19</v>
      </c>
      <c r="I44" s="4">
        <v>9</v>
      </c>
      <c r="J44" s="5">
        <f>(I44/H44)</f>
        <v>0.47368421052631576</v>
      </c>
      <c r="K44" s="2" t="s">
        <v>109</v>
      </c>
    </row>
    <row r="45" spans="1:11" x14ac:dyDescent="0.3">
      <c r="A45" s="2" t="s">
        <v>92</v>
      </c>
      <c r="B45" s="2" t="s">
        <v>57</v>
      </c>
      <c r="C45" s="3">
        <v>5.42</v>
      </c>
      <c r="D45" s="3">
        <v>0.23</v>
      </c>
      <c r="E45" s="3">
        <f>(C45 - MIN(C:C)) / (MAX(C:C) - MIN(C:C))</f>
        <v>0.15701325889741799</v>
      </c>
      <c r="F45" s="3">
        <f>1 - ((D45 - MIN(D:D)) / (MAX(D:D) - MIN(D:D)))</f>
        <v>0.36681222707423566</v>
      </c>
      <c r="G45" s="3">
        <f>0.5 *E45+0.5*F45</f>
        <v>0.26191274298582684</v>
      </c>
      <c r="H45" s="4">
        <v>19</v>
      </c>
      <c r="I45" s="4">
        <v>12</v>
      </c>
      <c r="J45" s="5">
        <f>(I45/H45)</f>
        <v>0.63157894736842102</v>
      </c>
      <c r="K45" s="2" t="s">
        <v>104</v>
      </c>
    </row>
    <row r="46" spans="1:11" x14ac:dyDescent="0.3">
      <c r="A46" s="2" t="s">
        <v>99</v>
      </c>
      <c r="B46" s="2" t="s">
        <v>58</v>
      </c>
      <c r="C46" s="3">
        <v>5.36</v>
      </c>
      <c r="D46" s="3">
        <v>0.22900000000000001</v>
      </c>
      <c r="E46" s="3">
        <f>(C46 - MIN(C:C)) / (MAX(C:C) - MIN(C:C))</f>
        <v>0.15282623866015355</v>
      </c>
      <c r="F46" s="3">
        <f>1 - ((D46 - MIN(D:D)) / (MAX(D:D) - MIN(D:D)))</f>
        <v>0.37117903930130991</v>
      </c>
      <c r="G46" s="3">
        <f>0.5 *E46+0.5*F46</f>
        <v>0.26200263898073173</v>
      </c>
      <c r="H46" s="4">
        <v>11</v>
      </c>
      <c r="I46" s="4">
        <v>7</v>
      </c>
      <c r="J46" s="5">
        <f>(I46/H46)</f>
        <v>0.63636363636363635</v>
      </c>
      <c r="K46" s="2" t="s">
        <v>107</v>
      </c>
    </row>
    <row r="47" spans="1:11" x14ac:dyDescent="0.3">
      <c r="A47" s="2" t="s">
        <v>89</v>
      </c>
      <c r="B47" s="2" t="s">
        <v>6</v>
      </c>
      <c r="C47" s="3">
        <v>4.8099999999999996</v>
      </c>
      <c r="D47" s="3">
        <v>0.219</v>
      </c>
      <c r="E47" s="3">
        <f>(C47 - MIN(C:C)) / (MAX(C:C) - MIN(C:C))</f>
        <v>0.11444521981856243</v>
      </c>
      <c r="F47" s="3">
        <f>1 - ((D47 - MIN(D:D)) / (MAX(D:D) - MIN(D:D)))</f>
        <v>0.41484716157205237</v>
      </c>
      <c r="G47" s="3">
        <f>0.5 *E47+0.5*F47</f>
        <v>0.26464619069530737</v>
      </c>
      <c r="H47" s="4">
        <v>18</v>
      </c>
      <c r="I47" s="4">
        <v>13</v>
      </c>
      <c r="J47" s="5">
        <f>(I47/H47)</f>
        <v>0.72222222222222221</v>
      </c>
      <c r="K47" s="2" t="s">
        <v>109</v>
      </c>
    </row>
    <row r="48" spans="1:11" x14ac:dyDescent="0.3">
      <c r="A48" s="2" t="s">
        <v>94</v>
      </c>
      <c r="B48" s="2" t="s">
        <v>6</v>
      </c>
      <c r="C48" s="3">
        <v>5.83</v>
      </c>
      <c r="D48" s="3">
        <v>0.23499999999999999</v>
      </c>
      <c r="E48" s="3">
        <f>(C48 - MIN(C:C)) / (MAX(C:C) - MIN(C:C))</f>
        <v>0.18562456385205864</v>
      </c>
      <c r="F48" s="3">
        <f>1 - ((D48 - MIN(D:D)) / (MAX(D:D) - MIN(D:D)))</f>
        <v>0.34497816593886477</v>
      </c>
      <c r="G48" s="3">
        <f>0.5 *E48+0.5*F48</f>
        <v>0.26530136489546169</v>
      </c>
      <c r="H48" s="4">
        <v>18</v>
      </c>
      <c r="I48" s="4">
        <v>10</v>
      </c>
      <c r="J48" s="5">
        <f>(I48/H48)</f>
        <v>0.55555555555555558</v>
      </c>
      <c r="K48" s="2" t="s">
        <v>110</v>
      </c>
    </row>
    <row r="49" spans="1:11" x14ac:dyDescent="0.3">
      <c r="A49" s="2" t="s">
        <v>92</v>
      </c>
      <c r="B49" s="2" t="s">
        <v>37</v>
      </c>
      <c r="C49" s="3">
        <v>5.96</v>
      </c>
      <c r="D49" s="3">
        <v>0.23699999999999999</v>
      </c>
      <c r="E49" s="3">
        <f>(C49 - MIN(C:C)) / (MAX(C:C) - MIN(C:C))</f>
        <v>0.19469644103279832</v>
      </c>
      <c r="F49" s="3">
        <f>1 - ((D49 - MIN(D:D)) / (MAX(D:D) - MIN(D:D)))</f>
        <v>0.33624454148471628</v>
      </c>
      <c r="G49" s="3">
        <f>0.5 *E49+0.5*F49</f>
        <v>0.26547049125875732</v>
      </c>
      <c r="H49" s="4">
        <v>19</v>
      </c>
      <c r="I49" s="4">
        <v>13</v>
      </c>
      <c r="J49" s="5">
        <f>(I49/H49)</f>
        <v>0.68421052631578949</v>
      </c>
      <c r="K49" s="2" t="s">
        <v>104</v>
      </c>
    </row>
    <row r="50" spans="1:11" x14ac:dyDescent="0.3">
      <c r="A50" s="2" t="s">
        <v>84</v>
      </c>
      <c r="B50" s="2" t="s">
        <v>39</v>
      </c>
      <c r="C50" s="3">
        <v>5.42</v>
      </c>
      <c r="D50" s="3">
        <v>0.22800000000000001</v>
      </c>
      <c r="E50" s="3">
        <f>(C50 - MIN(C:C)) / (MAX(C:C) - MIN(C:C))</f>
        <v>0.15701325889741799</v>
      </c>
      <c r="F50" s="3">
        <f>1 - ((D50 - MIN(D:D)) / (MAX(D:D) - MIN(D:D)))</f>
        <v>0.37554585152838416</v>
      </c>
      <c r="G50" s="3">
        <f>0.5 *E50+0.5*F50</f>
        <v>0.26627955521290109</v>
      </c>
      <c r="H50" s="4">
        <v>18</v>
      </c>
      <c r="I50" s="4">
        <v>12</v>
      </c>
      <c r="J50" s="5">
        <f>(I50/H50)</f>
        <v>0.66666666666666663</v>
      </c>
      <c r="K50" s="2" t="s">
        <v>105</v>
      </c>
    </row>
    <row r="51" spans="1:11" x14ac:dyDescent="0.3">
      <c r="A51" s="2" t="s">
        <v>77</v>
      </c>
      <c r="B51" s="2" t="s">
        <v>42</v>
      </c>
      <c r="C51" s="3">
        <v>6.59</v>
      </c>
      <c r="D51" s="3">
        <v>0.246</v>
      </c>
      <c r="E51" s="3">
        <f>(C51 - MIN(C:C)) / (MAX(C:C) - MIN(C:C))</f>
        <v>0.23866015352407535</v>
      </c>
      <c r="F51" s="3">
        <f>1 - ((D51 - MIN(D:D)) / (MAX(D:D) - MIN(D:D)))</f>
        <v>0.29694323144104806</v>
      </c>
      <c r="G51" s="3">
        <f>0.5 *E51+0.5*F51</f>
        <v>0.26780169248256169</v>
      </c>
      <c r="H51" s="4">
        <v>19</v>
      </c>
      <c r="I51" s="4">
        <v>11</v>
      </c>
      <c r="J51" s="5">
        <f>(I51/H51)</f>
        <v>0.57894736842105265</v>
      </c>
      <c r="K51" s="2" t="s">
        <v>103</v>
      </c>
    </row>
    <row r="52" spans="1:11" x14ac:dyDescent="0.3">
      <c r="A52" s="2" t="s">
        <v>83</v>
      </c>
      <c r="B52" s="2" t="s">
        <v>6</v>
      </c>
      <c r="C52" s="3">
        <v>4.32</v>
      </c>
      <c r="D52" s="3">
        <v>0.20799999999999999</v>
      </c>
      <c r="E52" s="3">
        <f>(C52 - MIN(C:C)) / (MAX(C:C) - MIN(C:C))</f>
        <v>8.025122121423589E-2</v>
      </c>
      <c r="F52" s="3">
        <f>1 - ((D52 - MIN(D:D)) / (MAX(D:D) - MIN(D:D)))</f>
        <v>0.46288209606986908</v>
      </c>
      <c r="G52" s="3">
        <f>0.5 *E52+0.5*F52</f>
        <v>0.27156665864205248</v>
      </c>
      <c r="H52" s="4">
        <v>19</v>
      </c>
      <c r="I52" s="4">
        <v>12</v>
      </c>
      <c r="J52" s="5">
        <f>(I52/H52)</f>
        <v>0.63157894736842102</v>
      </c>
      <c r="K52" s="2" t="s">
        <v>105</v>
      </c>
    </row>
    <row r="53" spans="1:11" x14ac:dyDescent="0.3">
      <c r="A53" s="2" t="s">
        <v>91</v>
      </c>
      <c r="B53" s="2" t="s">
        <v>6</v>
      </c>
      <c r="C53" s="3">
        <v>6.59</v>
      </c>
      <c r="D53" s="3">
        <v>0.24399999999999999</v>
      </c>
      <c r="E53" s="3">
        <f>(C53 - MIN(C:C)) / (MAX(C:C) - MIN(C:C))</f>
        <v>0.23866015352407535</v>
      </c>
      <c r="F53" s="3">
        <f>1 - ((D53 - MIN(D:D)) / (MAX(D:D) - MIN(D:D)))</f>
        <v>0.30567685589519655</v>
      </c>
      <c r="G53" s="3">
        <f>0.5 *E53+0.5*F53</f>
        <v>0.27216850470963594</v>
      </c>
      <c r="H53" s="4">
        <v>17</v>
      </c>
      <c r="I53" s="4">
        <v>11</v>
      </c>
      <c r="J53" s="5">
        <f>(I53/H53)</f>
        <v>0.6470588235294118</v>
      </c>
      <c r="K53" s="2" t="s">
        <v>104</v>
      </c>
    </row>
    <row r="54" spans="1:11" x14ac:dyDescent="0.3">
      <c r="A54" s="2" t="s">
        <v>91</v>
      </c>
      <c r="B54" s="2" t="s">
        <v>6</v>
      </c>
      <c r="C54" s="3">
        <v>4.04</v>
      </c>
      <c r="D54" s="3">
        <v>0.20300000000000001</v>
      </c>
      <c r="E54" s="3">
        <f>(C54 - MIN(C:C)) / (MAX(C:C) - MIN(C:C))</f>
        <v>6.071179344033497E-2</v>
      </c>
      <c r="F54" s="3">
        <f>1 - ((D54 - MIN(D:D)) / (MAX(D:D) - MIN(D:D)))</f>
        <v>0.48471615720524008</v>
      </c>
      <c r="G54" s="3">
        <f>0.5 *E54+0.5*F54</f>
        <v>0.27271397532278752</v>
      </c>
      <c r="H54" s="4">
        <v>19</v>
      </c>
      <c r="I54" s="4">
        <v>14</v>
      </c>
      <c r="J54" s="5">
        <f>(I54/H54)</f>
        <v>0.73684210526315785</v>
      </c>
      <c r="K54" s="2" t="s">
        <v>104</v>
      </c>
    </row>
    <row r="55" spans="1:11" x14ac:dyDescent="0.3">
      <c r="A55" s="2" t="s">
        <v>77</v>
      </c>
      <c r="B55" s="2" t="s">
        <v>6</v>
      </c>
      <c r="C55" s="3">
        <v>7.5</v>
      </c>
      <c r="D55" s="3">
        <v>0.25800000000000001</v>
      </c>
      <c r="E55" s="3">
        <f>(C55 - MIN(C:C)) / (MAX(C:C) - MIN(C:C))</f>
        <v>0.30216329378925333</v>
      </c>
      <c r="F55" s="3">
        <f>1 - ((D55 - MIN(D:D)) / (MAX(D:D) - MIN(D:D)))</f>
        <v>0.24454148471615722</v>
      </c>
      <c r="G55" s="3">
        <f>0.5 *E55+0.5*F55</f>
        <v>0.27335238925270527</v>
      </c>
      <c r="H55" s="4">
        <v>19</v>
      </c>
      <c r="I55" s="4">
        <v>10</v>
      </c>
      <c r="J55" s="5">
        <f>(I55/H55)</f>
        <v>0.52631578947368418</v>
      </c>
      <c r="K55" s="2" t="s">
        <v>103</v>
      </c>
    </row>
    <row r="56" spans="1:11" x14ac:dyDescent="0.3">
      <c r="A56" s="2" t="s">
        <v>84</v>
      </c>
      <c r="B56" s="2" t="s">
        <v>6</v>
      </c>
      <c r="C56" s="3">
        <v>6.5</v>
      </c>
      <c r="D56" s="3">
        <v>0.24</v>
      </c>
      <c r="E56" s="3">
        <f>(C56 - MIN(C:C)) / (MAX(C:C) - MIN(C:C))</f>
        <v>0.23237962316817865</v>
      </c>
      <c r="F56" s="3">
        <f>1 - ((D56 - MIN(D:D)) / (MAX(D:D) - MIN(D:D)))</f>
        <v>0.32314410480349354</v>
      </c>
      <c r="G56" s="3">
        <f>0.5 *E56+0.5*F56</f>
        <v>0.27776186398583608</v>
      </c>
      <c r="H56" s="4">
        <v>15</v>
      </c>
      <c r="I56" s="4">
        <v>10</v>
      </c>
      <c r="J56" s="5">
        <f>(I56/H56)</f>
        <v>0.66666666666666663</v>
      </c>
      <c r="K56" s="2" t="s">
        <v>105</v>
      </c>
    </row>
    <row r="57" spans="1:11" x14ac:dyDescent="0.3">
      <c r="A57" s="2" t="s">
        <v>97</v>
      </c>
      <c r="B57" s="2" t="s">
        <v>6</v>
      </c>
      <c r="C57" s="3">
        <v>6.83</v>
      </c>
      <c r="D57" s="3">
        <v>0.245</v>
      </c>
      <c r="E57" s="3">
        <f>(C57 - MIN(C:C)) / (MAX(C:C) - MIN(C:C))</f>
        <v>0.25540823447313332</v>
      </c>
      <c r="F57" s="3">
        <f>1 - ((D57 - MIN(D:D)) / (MAX(D:D) - MIN(D:D)))</f>
        <v>0.30131004366812231</v>
      </c>
      <c r="G57" s="3">
        <f>0.5 *E57+0.5*F57</f>
        <v>0.27835913907062781</v>
      </c>
      <c r="H57" s="4">
        <v>19</v>
      </c>
      <c r="I57" s="4">
        <v>15</v>
      </c>
      <c r="J57" s="5">
        <f>(I57/H57)</f>
        <v>0.78947368421052633</v>
      </c>
      <c r="K57" s="2" t="s">
        <v>107</v>
      </c>
    </row>
    <row r="58" spans="1:11" x14ac:dyDescent="0.3">
      <c r="A58" s="2" t="s">
        <v>94</v>
      </c>
      <c r="B58" s="2" t="s">
        <v>6</v>
      </c>
      <c r="C58" s="3">
        <v>5.28</v>
      </c>
      <c r="D58" s="3">
        <v>0.22</v>
      </c>
      <c r="E58" s="3">
        <f>(C58 - MIN(C:C)) / (MAX(C:C) - MIN(C:C))</f>
        <v>0.14724354501046757</v>
      </c>
      <c r="F58" s="3">
        <f>1 - ((D58 - MIN(D:D)) / (MAX(D:D) - MIN(D:D)))</f>
        <v>0.41048034934497812</v>
      </c>
      <c r="G58" s="3">
        <f>0.5 *E58+0.5*F58</f>
        <v>0.27886194717772284</v>
      </c>
      <c r="H58" s="4">
        <v>19</v>
      </c>
      <c r="I58" s="4">
        <v>9</v>
      </c>
      <c r="J58" s="5">
        <f>(I58/H58)</f>
        <v>0.47368421052631576</v>
      </c>
      <c r="K58" s="2" t="s">
        <v>110</v>
      </c>
    </row>
    <row r="59" spans="1:11" x14ac:dyDescent="0.3">
      <c r="A59" s="2" t="s">
        <v>84</v>
      </c>
      <c r="B59" s="2" t="s">
        <v>6</v>
      </c>
      <c r="C59" s="3">
        <v>4.72</v>
      </c>
      <c r="D59" s="3">
        <v>0.21099999999999999</v>
      </c>
      <c r="E59" s="3">
        <f>(C59 - MIN(C:C)) / (MAX(C:C) - MIN(C:C))</f>
        <v>0.10816468946266572</v>
      </c>
      <c r="F59" s="3">
        <f>1 - ((D59 - MIN(D:D)) / (MAX(D:D) - MIN(D:D)))</f>
        <v>0.44978165938864623</v>
      </c>
      <c r="G59" s="3">
        <f>0.5 *E59+0.5*F59</f>
        <v>0.27897317442565595</v>
      </c>
      <c r="H59" s="4">
        <v>18</v>
      </c>
      <c r="I59" s="4">
        <v>9</v>
      </c>
      <c r="J59" s="5">
        <f>(I59/H59)</f>
        <v>0.5</v>
      </c>
      <c r="K59" s="2" t="s">
        <v>105</v>
      </c>
    </row>
    <row r="60" spans="1:11" x14ac:dyDescent="0.3">
      <c r="A60" s="2" t="s">
        <v>80</v>
      </c>
      <c r="B60" s="2" t="s">
        <v>7</v>
      </c>
      <c r="C60" s="3">
        <v>7.5</v>
      </c>
      <c r="D60" s="3">
        <v>0.255</v>
      </c>
      <c r="E60" s="3">
        <f>(C60 - MIN(C:C)) / (MAX(C:C) - MIN(C:C))</f>
        <v>0.30216329378925333</v>
      </c>
      <c r="F60" s="3">
        <f>1 - ((D60 - MIN(D:D)) / (MAX(D:D) - MIN(D:D)))</f>
        <v>0.25764192139737996</v>
      </c>
      <c r="G60" s="3">
        <f>0.5 *E60+0.5*F60</f>
        <v>0.27990260759331664</v>
      </c>
      <c r="H60" s="4">
        <v>18</v>
      </c>
      <c r="I60" s="4">
        <v>12</v>
      </c>
      <c r="J60" s="5">
        <f>(I60/H60)</f>
        <v>0.66666666666666663</v>
      </c>
      <c r="K60" s="2" t="s">
        <v>106</v>
      </c>
    </row>
    <row r="61" spans="1:11" x14ac:dyDescent="0.3">
      <c r="A61" s="2" t="s">
        <v>95</v>
      </c>
      <c r="B61" s="2" t="s">
        <v>6</v>
      </c>
      <c r="C61" s="3">
        <v>4.32</v>
      </c>
      <c r="D61" s="3">
        <v>0.20399999999999999</v>
      </c>
      <c r="E61" s="3">
        <f>(C61 - MIN(C:C)) / (MAX(C:C) - MIN(C:C))</f>
        <v>8.025122121423589E-2</v>
      </c>
      <c r="F61" s="3">
        <f>1 - ((D61 - MIN(D:D)) / (MAX(D:D) - MIN(D:D)))</f>
        <v>0.48034934497816595</v>
      </c>
      <c r="G61" s="3">
        <f>0.5 *E61+0.5*F61</f>
        <v>0.28030028309620092</v>
      </c>
      <c r="H61" s="4">
        <v>19</v>
      </c>
      <c r="I61" s="4">
        <v>11</v>
      </c>
      <c r="J61" s="5">
        <f>(I61/H61)</f>
        <v>0.57894736842105265</v>
      </c>
      <c r="K61" s="2" t="s">
        <v>110</v>
      </c>
    </row>
    <row r="62" spans="1:11" x14ac:dyDescent="0.3">
      <c r="A62" s="2" t="s">
        <v>83</v>
      </c>
      <c r="B62" s="2" t="s">
        <v>6</v>
      </c>
      <c r="C62" s="3">
        <v>5.83</v>
      </c>
      <c r="D62" s="3">
        <v>0.22700000000000001</v>
      </c>
      <c r="E62" s="3">
        <f>(C62 - MIN(C:C)) / (MAX(C:C) - MIN(C:C))</f>
        <v>0.18562456385205864</v>
      </c>
      <c r="F62" s="3">
        <f>1 - ((D62 - MIN(D:D)) / (MAX(D:D) - MIN(D:D)))</f>
        <v>0.3799126637554584</v>
      </c>
      <c r="G62" s="3">
        <f>0.5 *E62+0.5*F62</f>
        <v>0.28276861380375851</v>
      </c>
      <c r="H62" s="4">
        <v>19</v>
      </c>
      <c r="I62" s="4">
        <v>9</v>
      </c>
      <c r="J62" s="5">
        <f>(I62/H62)</f>
        <v>0.47368421052631576</v>
      </c>
      <c r="K62" s="2" t="s">
        <v>105</v>
      </c>
    </row>
    <row r="63" spans="1:11" x14ac:dyDescent="0.3">
      <c r="A63" s="2" t="s">
        <v>81</v>
      </c>
      <c r="B63" s="2" t="s">
        <v>47</v>
      </c>
      <c r="C63" s="3">
        <v>7.5</v>
      </c>
      <c r="D63" s="3">
        <v>0.253</v>
      </c>
      <c r="E63" s="3">
        <f>(C63 - MIN(C:C)) / (MAX(C:C) - MIN(C:C))</f>
        <v>0.30216329378925333</v>
      </c>
      <c r="F63" s="3">
        <f>1 - ((D63 - MIN(D:D)) / (MAX(D:D) - MIN(D:D)))</f>
        <v>0.26637554585152845</v>
      </c>
      <c r="G63" s="3">
        <f>0.5 *E63+0.5*F63</f>
        <v>0.28426941982039089</v>
      </c>
      <c r="H63" s="4">
        <v>18</v>
      </c>
      <c r="I63" s="4">
        <v>11</v>
      </c>
      <c r="J63" s="5">
        <f>(I63/H63)</f>
        <v>0.61111111111111116</v>
      </c>
      <c r="K63" s="2" t="s">
        <v>106</v>
      </c>
    </row>
    <row r="64" spans="1:11" x14ac:dyDescent="0.3">
      <c r="A64" s="2" t="s">
        <v>86</v>
      </c>
      <c r="B64" s="2" t="s">
        <v>6</v>
      </c>
      <c r="C64" s="3">
        <v>5.83</v>
      </c>
      <c r="D64" s="3">
        <v>0.22600000000000001</v>
      </c>
      <c r="E64" s="3">
        <f>(C64 - MIN(C:C)) / (MAX(C:C) - MIN(C:C))</f>
        <v>0.18562456385205864</v>
      </c>
      <c r="F64" s="3">
        <f>1 - ((D64 - MIN(D:D)) / (MAX(D:D) - MIN(D:D)))</f>
        <v>0.38427947598253265</v>
      </c>
      <c r="G64" s="3">
        <f>0.5 *E64+0.5*F64</f>
        <v>0.28495201991729563</v>
      </c>
      <c r="H64" s="4">
        <v>18</v>
      </c>
      <c r="I64" s="4">
        <v>15</v>
      </c>
      <c r="J64" s="5">
        <f>(I64/H64)</f>
        <v>0.83333333333333337</v>
      </c>
      <c r="K64" s="2" t="s">
        <v>108</v>
      </c>
    </row>
    <row r="65" spans="1:11" x14ac:dyDescent="0.3">
      <c r="A65" s="2" t="s">
        <v>83</v>
      </c>
      <c r="B65" s="2" t="s">
        <v>6</v>
      </c>
      <c r="C65" s="3">
        <v>5.36</v>
      </c>
      <c r="D65" s="3">
        <v>0.217</v>
      </c>
      <c r="E65" s="3">
        <f>(C65 - MIN(C:C)) / (MAX(C:C) - MIN(C:C))</f>
        <v>0.15282623866015355</v>
      </c>
      <c r="F65" s="3">
        <f>1 - ((D65 - MIN(D:D)) / (MAX(D:D) - MIN(D:D)))</f>
        <v>0.42358078602620075</v>
      </c>
      <c r="G65" s="3">
        <f>0.5 *E65+0.5*F65</f>
        <v>0.28820351234317715</v>
      </c>
      <c r="H65" s="4">
        <v>19</v>
      </c>
      <c r="I65" s="4">
        <v>14</v>
      </c>
      <c r="J65" s="5">
        <f>(I65/H65)</f>
        <v>0.73684210526315785</v>
      </c>
      <c r="K65" s="2" t="s">
        <v>105</v>
      </c>
    </row>
    <row r="66" spans="1:11" x14ac:dyDescent="0.3">
      <c r="A66" s="2" t="s">
        <v>83</v>
      </c>
      <c r="B66" s="2" t="s">
        <v>40</v>
      </c>
      <c r="C66" s="3">
        <v>7.5</v>
      </c>
      <c r="D66" s="3">
        <v>0.25</v>
      </c>
      <c r="E66" s="3">
        <f>(C66 - MIN(C:C)) / (MAX(C:C) - MIN(C:C))</f>
        <v>0.30216329378925333</v>
      </c>
      <c r="F66" s="3">
        <f>1 - ((D66 - MIN(D:D)) / (MAX(D:D) - MIN(D:D)))</f>
        <v>0.27947598253275108</v>
      </c>
      <c r="G66" s="3">
        <f>0.5 *E66+0.5*F66</f>
        <v>0.2908196381610022</v>
      </c>
      <c r="H66" s="4">
        <v>12</v>
      </c>
      <c r="I66" s="4">
        <v>9</v>
      </c>
      <c r="J66" s="5">
        <f>(I66/H66)</f>
        <v>0.75</v>
      </c>
      <c r="K66" s="2" t="s">
        <v>105</v>
      </c>
    </row>
    <row r="67" spans="1:11" x14ac:dyDescent="0.3">
      <c r="A67" s="2" t="s">
        <v>85</v>
      </c>
      <c r="B67" s="2" t="s">
        <v>6</v>
      </c>
      <c r="C67" s="3">
        <v>6.5</v>
      </c>
      <c r="D67" s="3">
        <v>0.23400000000000001</v>
      </c>
      <c r="E67" s="3">
        <f>(C67 - MIN(C:C)) / (MAX(C:C) - MIN(C:C))</f>
        <v>0.23237962316817865</v>
      </c>
      <c r="F67" s="3">
        <f>1 - ((D67 - MIN(D:D)) / (MAX(D:D) - MIN(D:D)))</f>
        <v>0.34934497816593868</v>
      </c>
      <c r="G67" s="3">
        <f>0.5 *E67+0.5*F67</f>
        <v>0.29086230066705865</v>
      </c>
      <c r="H67" s="4">
        <v>19</v>
      </c>
      <c r="I67" s="4">
        <v>10</v>
      </c>
      <c r="J67" s="5">
        <f>(I67/H67)</f>
        <v>0.52631578947368418</v>
      </c>
      <c r="K67" s="2" t="s">
        <v>108</v>
      </c>
    </row>
    <row r="68" spans="1:11" x14ac:dyDescent="0.3">
      <c r="A68" s="2" t="s">
        <v>80</v>
      </c>
      <c r="B68" s="2" t="s">
        <v>42</v>
      </c>
      <c r="C68" s="3">
        <v>8.33</v>
      </c>
      <c r="D68" s="3">
        <v>0.26300000000000001</v>
      </c>
      <c r="E68" s="3">
        <f>(C68 - MIN(C:C)) / (MAX(C:C) - MIN(C:C))</f>
        <v>0.36008374040474528</v>
      </c>
      <c r="F68" s="3">
        <f>1 - ((D68 - MIN(D:D)) / (MAX(D:D) - MIN(D:D)))</f>
        <v>0.22270742358078599</v>
      </c>
      <c r="G68" s="3">
        <f>0.5 *E68+0.5*F68</f>
        <v>0.29139558199276561</v>
      </c>
      <c r="H68" s="4">
        <v>19</v>
      </c>
      <c r="I68" s="4">
        <v>11</v>
      </c>
      <c r="J68" s="5">
        <f>(I68/H68)</f>
        <v>0.57894736842105265</v>
      </c>
      <c r="K68" s="2" t="s">
        <v>106</v>
      </c>
    </row>
    <row r="69" spans="1:11" x14ac:dyDescent="0.3">
      <c r="A69" s="2" t="s">
        <v>97</v>
      </c>
      <c r="B69" s="2" t="s">
        <v>6</v>
      </c>
      <c r="C69" s="3">
        <v>4.7699999999999996</v>
      </c>
      <c r="D69" s="3">
        <v>0.20599999999999999</v>
      </c>
      <c r="E69" s="3">
        <f>(C69 - MIN(C:C)) / (MAX(C:C) - MIN(C:C))</f>
        <v>0.11165387299371944</v>
      </c>
      <c r="F69" s="3">
        <f>1 - ((D69 - MIN(D:D)) / (MAX(D:D) - MIN(D:D)))</f>
        <v>0.47161572052401746</v>
      </c>
      <c r="G69" s="3">
        <f>0.5 *E69+0.5*F69</f>
        <v>0.29163479675886844</v>
      </c>
      <c r="H69" s="4">
        <v>18</v>
      </c>
      <c r="I69" s="4">
        <v>11</v>
      </c>
      <c r="J69" s="5">
        <f>(I69/H69)</f>
        <v>0.61111111111111116</v>
      </c>
      <c r="K69" s="2" t="s">
        <v>107</v>
      </c>
    </row>
    <row r="70" spans="1:11" x14ac:dyDescent="0.3">
      <c r="A70" s="2" t="s">
        <v>87</v>
      </c>
      <c r="B70" s="2" t="s">
        <v>21</v>
      </c>
      <c r="C70" s="3">
        <v>5.28</v>
      </c>
      <c r="D70" s="3">
        <v>0.214</v>
      </c>
      <c r="E70" s="3">
        <f>(C70 - MIN(C:C)) / (MAX(C:C) - MIN(C:C))</f>
        <v>0.14724354501046757</v>
      </c>
      <c r="F70" s="3">
        <f>1 - ((D70 - MIN(D:D)) / (MAX(D:D) - MIN(D:D)))</f>
        <v>0.43668122270742349</v>
      </c>
      <c r="G70" s="3">
        <f>0.5 *E70+0.5*F70</f>
        <v>0.29196238385894552</v>
      </c>
      <c r="H70" s="4">
        <v>14</v>
      </c>
      <c r="I70" s="4">
        <v>9</v>
      </c>
      <c r="J70" s="5">
        <f>(I70/H70)</f>
        <v>0.6428571428571429</v>
      </c>
      <c r="K70" s="2" t="s">
        <v>108</v>
      </c>
    </row>
    <row r="71" spans="1:11" x14ac:dyDescent="0.3">
      <c r="A71" s="2" t="s">
        <v>88</v>
      </c>
      <c r="B71" s="2" t="s">
        <v>6</v>
      </c>
      <c r="C71" s="3">
        <v>7.5</v>
      </c>
      <c r="D71" s="3">
        <v>0.249</v>
      </c>
      <c r="E71" s="3">
        <f>(C71 - MIN(C:C)) / (MAX(C:C) - MIN(C:C))</f>
        <v>0.30216329378925333</v>
      </c>
      <c r="F71" s="3">
        <f>1 - ((D71 - MIN(D:D)) / (MAX(D:D) - MIN(D:D)))</f>
        <v>0.28384279475982532</v>
      </c>
      <c r="G71" s="3">
        <f>0.5 *E71+0.5*F71</f>
        <v>0.29300304427453933</v>
      </c>
      <c r="H71" s="4">
        <v>17</v>
      </c>
      <c r="I71" s="4">
        <v>8</v>
      </c>
      <c r="J71" s="5">
        <f>(I71/H71)</f>
        <v>0.47058823529411764</v>
      </c>
      <c r="K71" s="2" t="s">
        <v>109</v>
      </c>
    </row>
    <row r="72" spans="1:11" x14ac:dyDescent="0.3">
      <c r="A72" s="2" t="s">
        <v>97</v>
      </c>
      <c r="B72" s="2" t="s">
        <v>6</v>
      </c>
      <c r="C72" s="3">
        <v>5.83</v>
      </c>
      <c r="D72" s="3">
        <v>0.222</v>
      </c>
      <c r="E72" s="3">
        <f>(C72 - MIN(C:C)) / (MAX(C:C) - MIN(C:C))</f>
        <v>0.18562456385205864</v>
      </c>
      <c r="F72" s="3">
        <f>1 - ((D72 - MIN(D:D)) / (MAX(D:D) - MIN(D:D)))</f>
        <v>0.40174672489082963</v>
      </c>
      <c r="G72" s="3">
        <f>0.5 *E72+0.5*F72</f>
        <v>0.29368564437144412</v>
      </c>
      <c r="H72" s="4">
        <v>19</v>
      </c>
      <c r="I72" s="4">
        <v>12</v>
      </c>
      <c r="J72" s="5">
        <f>(I72/H72)</f>
        <v>0.63157894736842102</v>
      </c>
      <c r="K72" s="2" t="s">
        <v>107</v>
      </c>
    </row>
    <row r="73" spans="1:11" x14ac:dyDescent="0.3">
      <c r="A73" s="2" t="s">
        <v>80</v>
      </c>
      <c r="B73" s="2" t="s">
        <v>6</v>
      </c>
      <c r="C73" s="3">
        <v>7.5</v>
      </c>
      <c r="D73" s="3">
        <v>0.248</v>
      </c>
      <c r="E73" s="3">
        <f>(C73 - MIN(C:C)) / (MAX(C:C) - MIN(C:C))</f>
        <v>0.30216329378925333</v>
      </c>
      <c r="F73" s="3">
        <f>1 - ((D73 - MIN(D:D)) / (MAX(D:D) - MIN(D:D)))</f>
        <v>0.28820960698689957</v>
      </c>
      <c r="G73" s="3">
        <f>0.5 *E73+0.5*F73</f>
        <v>0.29518645038807645</v>
      </c>
      <c r="H73" s="4">
        <v>17</v>
      </c>
      <c r="I73" s="4">
        <v>10</v>
      </c>
      <c r="J73" s="5">
        <f>(I73/H73)</f>
        <v>0.58823529411764708</v>
      </c>
      <c r="K73" s="2" t="s">
        <v>106</v>
      </c>
    </row>
    <row r="74" spans="1:11" x14ac:dyDescent="0.3">
      <c r="A74" s="2" t="s">
        <v>80</v>
      </c>
      <c r="B74" s="2" t="s">
        <v>6</v>
      </c>
      <c r="C74" s="3">
        <v>5.62</v>
      </c>
      <c r="D74" s="3">
        <v>0.216</v>
      </c>
      <c r="E74" s="3">
        <f>(C74 - MIN(C:C)) / (MAX(C:C) - MIN(C:C))</f>
        <v>0.17096999302163296</v>
      </c>
      <c r="F74" s="3">
        <f>1 - ((D74 - MIN(D:D)) / (MAX(D:D) - MIN(D:D)))</f>
        <v>0.427947598253275</v>
      </c>
      <c r="G74" s="3">
        <f>0.5 *E74+0.5*F74</f>
        <v>0.29945879563745398</v>
      </c>
      <c r="H74" s="4">
        <v>18</v>
      </c>
      <c r="I74" s="4">
        <v>9</v>
      </c>
      <c r="J74" s="5">
        <f>(I74/H74)</f>
        <v>0.5</v>
      </c>
      <c r="K74" s="2" t="s">
        <v>106</v>
      </c>
    </row>
    <row r="75" spans="1:11" x14ac:dyDescent="0.3">
      <c r="A75" s="2" t="s">
        <v>77</v>
      </c>
      <c r="B75" s="2" t="s">
        <v>14</v>
      </c>
      <c r="C75" s="3">
        <v>5</v>
      </c>
      <c r="D75" s="3">
        <v>0.20599999999999999</v>
      </c>
      <c r="E75" s="3">
        <f>(C75 - MIN(C:C)) / (MAX(C:C) - MIN(C:C))</f>
        <v>0.12770411723656666</v>
      </c>
      <c r="F75" s="3">
        <f>1 - ((D75 - MIN(D:D)) / (MAX(D:D) - MIN(D:D)))</f>
        <v>0.47161572052401746</v>
      </c>
      <c r="G75" s="3">
        <f>0.5 *E75+0.5*F75</f>
        <v>0.29965991888029209</v>
      </c>
      <c r="H75" s="4">
        <v>13</v>
      </c>
      <c r="I75" s="4">
        <v>8</v>
      </c>
      <c r="J75" s="5">
        <f>(I75/H75)</f>
        <v>0.61538461538461542</v>
      </c>
      <c r="K75" s="2" t="s">
        <v>103</v>
      </c>
    </row>
    <row r="76" spans="1:11" x14ac:dyDescent="0.3">
      <c r="A76" s="2" t="s">
        <v>84</v>
      </c>
      <c r="B76" s="2" t="s">
        <v>6</v>
      </c>
      <c r="C76" s="3">
        <v>7.5</v>
      </c>
      <c r="D76" s="3">
        <v>0.245</v>
      </c>
      <c r="E76" s="3">
        <f>(C76 - MIN(C:C)) / (MAX(C:C) - MIN(C:C))</f>
        <v>0.30216329378925333</v>
      </c>
      <c r="F76" s="3">
        <f>1 - ((D76 - MIN(D:D)) / (MAX(D:D) - MIN(D:D)))</f>
        <v>0.30131004366812231</v>
      </c>
      <c r="G76" s="3">
        <f>0.5 *E76+0.5*F76</f>
        <v>0.30173666872868782</v>
      </c>
      <c r="H76" s="4">
        <v>19</v>
      </c>
      <c r="I76" s="4">
        <v>14</v>
      </c>
      <c r="J76" s="5">
        <f>(I76/H76)</f>
        <v>0.73684210526315785</v>
      </c>
      <c r="K76" s="2" t="s">
        <v>105</v>
      </c>
    </row>
    <row r="77" spans="1:11" x14ac:dyDescent="0.3">
      <c r="A77" s="2" t="s">
        <v>77</v>
      </c>
      <c r="B77" s="2" t="s">
        <v>46</v>
      </c>
      <c r="C77" s="3">
        <v>6.88</v>
      </c>
      <c r="D77" s="3">
        <v>0.23499999999999999</v>
      </c>
      <c r="E77" s="3">
        <f>(C77 - MIN(C:C)) / (MAX(C:C) - MIN(C:C))</f>
        <v>0.25889741800418703</v>
      </c>
      <c r="F77" s="3">
        <f>1 - ((D77 - MIN(D:D)) / (MAX(D:D) - MIN(D:D)))</f>
        <v>0.34497816593886477</v>
      </c>
      <c r="G77" s="3">
        <f>0.5 *E77+0.5*F77</f>
        <v>0.30193779197152593</v>
      </c>
      <c r="H77" s="4">
        <v>15</v>
      </c>
      <c r="I77" s="4">
        <v>8</v>
      </c>
      <c r="J77" s="5">
        <f>(I77/H77)</f>
        <v>0.53333333333333333</v>
      </c>
      <c r="K77" s="2" t="s">
        <v>103</v>
      </c>
    </row>
    <row r="78" spans="1:11" x14ac:dyDescent="0.3">
      <c r="A78" s="2" t="s">
        <v>95</v>
      </c>
      <c r="B78" s="2" t="s">
        <v>67</v>
      </c>
      <c r="C78" s="3">
        <v>8.2100000000000009</v>
      </c>
      <c r="D78" s="3">
        <v>0.25600000000000001</v>
      </c>
      <c r="E78" s="3">
        <f>(C78 - MIN(C:C)) / (MAX(C:C) - MIN(C:C))</f>
        <v>0.35170969993021639</v>
      </c>
      <c r="F78" s="3">
        <f>1 - ((D78 - MIN(D:D)) / (MAX(D:D) - MIN(D:D)))</f>
        <v>0.25327510917030571</v>
      </c>
      <c r="G78" s="3">
        <f>0.5 *E78+0.5*F78</f>
        <v>0.30249240455026105</v>
      </c>
      <c r="H78" s="4">
        <v>12</v>
      </c>
      <c r="I78" s="4">
        <v>7</v>
      </c>
      <c r="J78" s="5">
        <f>(I78/H78)</f>
        <v>0.58333333333333337</v>
      </c>
      <c r="K78" s="2" t="s">
        <v>110</v>
      </c>
    </row>
    <row r="79" spans="1:11" x14ac:dyDescent="0.3">
      <c r="A79" s="2" t="s">
        <v>91</v>
      </c>
      <c r="B79" s="2" t="s">
        <v>6</v>
      </c>
      <c r="C79" s="3">
        <v>5.5</v>
      </c>
      <c r="D79" s="3">
        <v>0.21199999999999999</v>
      </c>
      <c r="E79" s="3">
        <f>(C79 - MIN(C:C)) / (MAX(C:C) - MIN(C:C))</f>
        <v>0.16259595254710399</v>
      </c>
      <c r="F79" s="3">
        <f>1 - ((D79 - MIN(D:D)) / (MAX(D:D) - MIN(D:D)))</f>
        <v>0.44541484716157198</v>
      </c>
      <c r="G79" s="3">
        <f>0.5 *E79+0.5*F79</f>
        <v>0.304005399854338</v>
      </c>
      <c r="H79" s="4">
        <v>19</v>
      </c>
      <c r="I79" s="4">
        <v>10</v>
      </c>
      <c r="J79" s="5">
        <f>(I79/H79)</f>
        <v>0.52631578947368418</v>
      </c>
      <c r="K79" s="2" t="s">
        <v>104</v>
      </c>
    </row>
    <row r="80" spans="1:11" x14ac:dyDescent="0.3">
      <c r="A80" s="2" t="s">
        <v>81</v>
      </c>
      <c r="B80" s="2" t="s">
        <v>31</v>
      </c>
      <c r="C80" s="3">
        <v>5.83</v>
      </c>
      <c r="D80" s="3">
        <v>0.217</v>
      </c>
      <c r="E80" s="3">
        <f>(C80 - MIN(C:C)) / (MAX(C:C) - MIN(C:C))</f>
        <v>0.18562456385205864</v>
      </c>
      <c r="F80" s="3">
        <f>1 - ((D80 - MIN(D:D)) / (MAX(D:D) - MIN(D:D)))</f>
        <v>0.42358078602620075</v>
      </c>
      <c r="G80" s="3">
        <f>0.5 *E80+0.5*F80</f>
        <v>0.30460267493912968</v>
      </c>
      <c r="H80" s="4">
        <v>14</v>
      </c>
      <c r="I80" s="4">
        <v>6</v>
      </c>
      <c r="J80" s="5">
        <f>(I80/H80)</f>
        <v>0.42857142857142855</v>
      </c>
      <c r="K80" s="2" t="s">
        <v>106</v>
      </c>
    </row>
    <row r="81" spans="1:11" x14ac:dyDescent="0.3">
      <c r="A81" s="2" t="s">
        <v>81</v>
      </c>
      <c r="B81" s="2" t="s">
        <v>6</v>
      </c>
      <c r="C81" s="3">
        <v>4</v>
      </c>
      <c r="D81" s="3">
        <v>0.187</v>
      </c>
      <c r="E81" s="3">
        <f>(C81 - MIN(C:C)) / (MAX(C:C) - MIN(C:C))</f>
        <v>5.7920446615491977E-2</v>
      </c>
      <c r="F81" s="3">
        <f>1 - ((D81 - MIN(D:D)) / (MAX(D:D) - MIN(D:D)))</f>
        <v>0.55458515283842802</v>
      </c>
      <c r="G81" s="3">
        <f>0.5 *E81+0.5*F81</f>
        <v>0.30625279972696001</v>
      </c>
      <c r="H81" s="4">
        <v>19</v>
      </c>
      <c r="I81" s="4">
        <v>10</v>
      </c>
      <c r="J81" s="5">
        <f>(I81/H81)</f>
        <v>0.52631578947368418</v>
      </c>
      <c r="K81" s="2" t="s">
        <v>106</v>
      </c>
    </row>
    <row r="82" spans="1:11" x14ac:dyDescent="0.3">
      <c r="A82" s="2" t="s">
        <v>95</v>
      </c>
      <c r="B82" s="2" t="s">
        <v>64</v>
      </c>
      <c r="C82" s="3">
        <v>5</v>
      </c>
      <c r="D82" s="3">
        <v>0.20100000000000001</v>
      </c>
      <c r="E82" s="3">
        <f>(C82 - MIN(C:C)) / (MAX(C:C) - MIN(C:C))</f>
        <v>0.12770411723656666</v>
      </c>
      <c r="F82" s="3">
        <f>1 - ((D82 - MIN(D:D)) / (MAX(D:D) - MIN(D:D)))</f>
        <v>0.49344978165938858</v>
      </c>
      <c r="G82" s="3">
        <f>0.5 *E82+0.5*F82</f>
        <v>0.31057694944797765</v>
      </c>
      <c r="H82" s="4">
        <v>11</v>
      </c>
      <c r="I82" s="4">
        <v>7</v>
      </c>
      <c r="J82" s="5">
        <f>(I82/H82)</f>
        <v>0.63636363636363635</v>
      </c>
      <c r="K82" s="2" t="s">
        <v>110</v>
      </c>
    </row>
    <row r="83" spans="1:11" x14ac:dyDescent="0.3">
      <c r="A83" s="2" t="s">
        <v>86</v>
      </c>
      <c r="B83" s="2" t="s">
        <v>6</v>
      </c>
      <c r="C83" s="3">
        <v>4.38</v>
      </c>
      <c r="D83" s="3">
        <v>0.191</v>
      </c>
      <c r="E83" s="3">
        <f>(C83 - MIN(C:C)) / (MAX(C:C) - MIN(C:C))</f>
        <v>8.4438241451500348E-2</v>
      </c>
      <c r="F83" s="3">
        <f>1 - ((D83 - MIN(D:D)) / (MAX(D:D) - MIN(D:D)))</f>
        <v>0.53711790393013104</v>
      </c>
      <c r="G83" s="3">
        <f>0.5 *E83+0.5*F83</f>
        <v>0.3107780726908157</v>
      </c>
      <c r="H83" s="4">
        <v>18</v>
      </c>
      <c r="I83" s="4">
        <v>9</v>
      </c>
      <c r="J83" s="5">
        <f>(I83/H83)</f>
        <v>0.5</v>
      </c>
      <c r="K83" s="2" t="s">
        <v>108</v>
      </c>
    </row>
    <row r="84" spans="1:11" x14ac:dyDescent="0.3">
      <c r="A84" s="2" t="s">
        <v>84</v>
      </c>
      <c r="B84" s="2" t="s">
        <v>38</v>
      </c>
      <c r="C84" s="3">
        <v>5.96</v>
      </c>
      <c r="D84" s="3">
        <v>0.216</v>
      </c>
      <c r="E84" s="3">
        <f>(C84 - MIN(C:C)) / (MAX(C:C) - MIN(C:C))</f>
        <v>0.19469644103279832</v>
      </c>
      <c r="F84" s="3">
        <f>1 - ((D84 - MIN(D:D)) / (MAX(D:D) - MIN(D:D)))</f>
        <v>0.427947598253275</v>
      </c>
      <c r="G84" s="3">
        <f>0.5 *E84+0.5*F84</f>
        <v>0.31132201964303663</v>
      </c>
      <c r="H84" s="4">
        <v>13</v>
      </c>
      <c r="I84" s="4">
        <v>13</v>
      </c>
      <c r="J84" s="5">
        <f>(I84/H84)</f>
        <v>1</v>
      </c>
      <c r="K84" s="2" t="s">
        <v>105</v>
      </c>
    </row>
    <row r="85" spans="1:11" x14ac:dyDescent="0.3">
      <c r="A85" s="2" t="s">
        <v>94</v>
      </c>
      <c r="B85" s="2" t="s">
        <v>6</v>
      </c>
      <c r="C85" s="3">
        <v>6.73</v>
      </c>
      <c r="D85" s="3">
        <v>0.22800000000000001</v>
      </c>
      <c r="E85" s="3">
        <f>(C85 - MIN(C:C)) / (MAX(C:C) - MIN(C:C))</f>
        <v>0.24842986741102585</v>
      </c>
      <c r="F85" s="3">
        <f>1 - ((D85 - MIN(D:D)) / (MAX(D:D) - MIN(D:D)))</f>
        <v>0.37554585152838416</v>
      </c>
      <c r="G85" s="3">
        <f>0.5 *E85+0.5*F85</f>
        <v>0.31198785946970498</v>
      </c>
      <c r="H85" s="4">
        <v>18</v>
      </c>
      <c r="I85" s="4">
        <v>13</v>
      </c>
      <c r="J85" s="5">
        <f>(I85/H85)</f>
        <v>0.72222222222222221</v>
      </c>
      <c r="K85" s="2" t="s">
        <v>110</v>
      </c>
    </row>
    <row r="86" spans="1:11" x14ac:dyDescent="0.3">
      <c r="A86" s="2" t="s">
        <v>83</v>
      </c>
      <c r="B86" s="2" t="s">
        <v>6</v>
      </c>
      <c r="C86" s="3">
        <v>4.17</v>
      </c>
      <c r="D86" s="3">
        <v>0.186</v>
      </c>
      <c r="E86" s="3">
        <f>(C86 - MIN(C:C)) / (MAX(C:C) - MIN(C:C))</f>
        <v>6.978367062107467E-2</v>
      </c>
      <c r="F86" s="3">
        <f>1 - ((D86 - MIN(D:D)) / (MAX(D:D) - MIN(D:D)))</f>
        <v>0.55895196506550215</v>
      </c>
      <c r="G86" s="3">
        <f>0.5 *E86+0.5*F86</f>
        <v>0.31436781784328843</v>
      </c>
      <c r="H86" s="4">
        <v>10</v>
      </c>
      <c r="I86" s="4">
        <v>4</v>
      </c>
      <c r="J86" s="5">
        <f>(I86/H86)</f>
        <v>0.4</v>
      </c>
      <c r="K86" s="2" t="s">
        <v>105</v>
      </c>
    </row>
    <row r="87" spans="1:11" x14ac:dyDescent="0.3">
      <c r="A87" s="2" t="s">
        <v>86</v>
      </c>
      <c r="B87" s="2" t="s">
        <v>51</v>
      </c>
      <c r="C87" s="3">
        <v>5.28</v>
      </c>
      <c r="D87" s="3">
        <v>0.20300000000000001</v>
      </c>
      <c r="E87" s="3">
        <f>(C87 - MIN(C:C)) / (MAX(C:C) - MIN(C:C))</f>
        <v>0.14724354501046757</v>
      </c>
      <c r="F87" s="3">
        <f>1 - ((D87 - MIN(D:D)) / (MAX(D:D) - MIN(D:D)))</f>
        <v>0.48471615720524008</v>
      </c>
      <c r="G87" s="3">
        <f>0.5 *E87+0.5*F87</f>
        <v>0.31597985110785382</v>
      </c>
      <c r="H87" s="4">
        <v>15</v>
      </c>
      <c r="I87" s="4">
        <v>10</v>
      </c>
      <c r="J87" s="5">
        <f>(I87/H87)</f>
        <v>0.66666666666666663</v>
      </c>
      <c r="K87" s="2" t="s">
        <v>108</v>
      </c>
    </row>
    <row r="88" spans="1:11" x14ac:dyDescent="0.3">
      <c r="A88" s="2" t="s">
        <v>83</v>
      </c>
      <c r="B88" s="2" t="s">
        <v>26</v>
      </c>
      <c r="C88" s="3">
        <v>7.1</v>
      </c>
      <c r="D88" s="3">
        <v>0.23200000000000001</v>
      </c>
      <c r="E88" s="3">
        <f>(C88 - MIN(C:C)) / (MAX(C:C) - MIN(C:C))</f>
        <v>0.27424982554082344</v>
      </c>
      <c r="F88" s="3">
        <f>1 - ((D88 - MIN(D:D)) / (MAX(D:D) - MIN(D:D)))</f>
        <v>0.35807860262008717</v>
      </c>
      <c r="G88" s="3">
        <f>0.5 *E88+0.5*F88</f>
        <v>0.31616421408045531</v>
      </c>
      <c r="H88" s="4">
        <v>16</v>
      </c>
      <c r="I88" s="4">
        <v>11</v>
      </c>
      <c r="J88" s="5">
        <f>(I88/H88)</f>
        <v>0.6875</v>
      </c>
      <c r="K88" s="2" t="s">
        <v>105</v>
      </c>
    </row>
    <row r="89" spans="1:11" x14ac:dyDescent="0.3">
      <c r="A89" s="2" t="s">
        <v>85</v>
      </c>
      <c r="B89" s="2" t="s">
        <v>54</v>
      </c>
      <c r="C89" s="3">
        <v>8.61</v>
      </c>
      <c r="D89" s="3">
        <v>0.255</v>
      </c>
      <c r="E89" s="3">
        <f>(C89 - MIN(C:C)) / (MAX(C:C) - MIN(C:C))</f>
        <v>0.37962316817864616</v>
      </c>
      <c r="F89" s="3">
        <f>1 - ((D89 - MIN(D:D)) / (MAX(D:D) - MIN(D:D)))</f>
        <v>0.25764192139737996</v>
      </c>
      <c r="G89" s="3">
        <f>0.5 *E89+0.5*F89</f>
        <v>0.31863254478801306</v>
      </c>
      <c r="H89" s="4">
        <v>17</v>
      </c>
      <c r="I89" s="4">
        <v>10</v>
      </c>
      <c r="J89" s="5">
        <f>(I89/H89)</f>
        <v>0.58823529411764708</v>
      </c>
      <c r="K89" s="2" t="s">
        <v>108</v>
      </c>
    </row>
    <row r="90" spans="1:11" x14ac:dyDescent="0.3">
      <c r="A90" s="2" t="s">
        <v>91</v>
      </c>
      <c r="B90" s="2" t="s">
        <v>6</v>
      </c>
      <c r="C90" s="3">
        <v>4.32</v>
      </c>
      <c r="D90" s="3">
        <v>0.186</v>
      </c>
      <c r="E90" s="3">
        <f>(C90 - MIN(C:C)) / (MAX(C:C) - MIN(C:C))</f>
        <v>8.025122121423589E-2</v>
      </c>
      <c r="F90" s="3">
        <f>1 - ((D90 - MIN(D:D)) / (MAX(D:D) - MIN(D:D)))</f>
        <v>0.55895196506550215</v>
      </c>
      <c r="G90" s="3">
        <f>0.5 *E90+0.5*F90</f>
        <v>0.31960159313986902</v>
      </c>
      <c r="H90" s="4">
        <v>18</v>
      </c>
      <c r="I90" s="4">
        <v>12</v>
      </c>
      <c r="J90" s="5">
        <f>(I90/H90)</f>
        <v>0.66666666666666663</v>
      </c>
      <c r="K90" s="2" t="s">
        <v>104</v>
      </c>
    </row>
    <row r="91" spans="1:11" x14ac:dyDescent="0.3">
      <c r="A91" s="2" t="s">
        <v>86</v>
      </c>
      <c r="B91" s="2" t="s">
        <v>6</v>
      </c>
      <c r="C91" s="3">
        <v>5.36</v>
      </c>
      <c r="D91" s="3">
        <v>0.20200000000000001</v>
      </c>
      <c r="E91" s="3">
        <f>(C91 - MIN(C:C)) / (MAX(C:C) - MIN(C:C))</f>
        <v>0.15282623866015355</v>
      </c>
      <c r="F91" s="3">
        <f>1 - ((D91 - MIN(D:D)) / (MAX(D:D) - MIN(D:D)))</f>
        <v>0.48908296943231433</v>
      </c>
      <c r="G91" s="3">
        <f>0.5 *E91+0.5*F91</f>
        <v>0.32095460404623394</v>
      </c>
      <c r="H91" s="4">
        <v>19</v>
      </c>
      <c r="I91" s="4">
        <v>8</v>
      </c>
      <c r="J91" s="5">
        <f>(I91/H91)</f>
        <v>0.42105263157894735</v>
      </c>
      <c r="K91" s="2" t="s">
        <v>108</v>
      </c>
    </row>
    <row r="92" spans="1:11" x14ac:dyDescent="0.3">
      <c r="A92" s="2" t="s">
        <v>77</v>
      </c>
      <c r="B92" s="2" t="s">
        <v>6</v>
      </c>
      <c r="C92" s="3">
        <v>4.5</v>
      </c>
      <c r="D92" s="3">
        <v>0.188</v>
      </c>
      <c r="E92" s="3">
        <f>(C92 - MIN(C:C)) / (MAX(C:C) - MIN(C:C))</f>
        <v>9.2812281926029319E-2</v>
      </c>
      <c r="F92" s="3">
        <f>1 - ((D92 - MIN(D:D)) / (MAX(D:D) - MIN(D:D)))</f>
        <v>0.55021834061135366</v>
      </c>
      <c r="G92" s="3">
        <f>0.5 *E92+0.5*F92</f>
        <v>0.32151531126869148</v>
      </c>
      <c r="H92" s="4">
        <v>19</v>
      </c>
      <c r="I92" s="4">
        <v>10</v>
      </c>
      <c r="J92" s="5">
        <f>(I92/H92)</f>
        <v>0.52631578947368418</v>
      </c>
      <c r="K92" s="2" t="s">
        <v>103</v>
      </c>
    </row>
    <row r="93" spans="1:11" x14ac:dyDescent="0.3">
      <c r="A93" s="2" t="s">
        <v>84</v>
      </c>
      <c r="B93" s="2" t="s">
        <v>15</v>
      </c>
      <c r="C93" s="3">
        <v>5.6</v>
      </c>
      <c r="D93" s="3">
        <v>0.20499999999999999</v>
      </c>
      <c r="E93" s="3">
        <f>(C93 - MIN(C:C)) / (MAX(C:C) - MIN(C:C))</f>
        <v>0.16957431960921143</v>
      </c>
      <c r="F93" s="3">
        <f>1 - ((D93 - MIN(D:D)) / (MAX(D:D) - MIN(D:D)))</f>
        <v>0.4759825327510917</v>
      </c>
      <c r="G93" s="3">
        <f>0.5 *E93+0.5*F93</f>
        <v>0.32277842618015157</v>
      </c>
      <c r="H93" s="4">
        <v>19</v>
      </c>
      <c r="I93" s="4">
        <v>12</v>
      </c>
      <c r="J93" s="5">
        <f>(I93/H93)</f>
        <v>0.63157894736842102</v>
      </c>
      <c r="K93" s="2" t="s">
        <v>105</v>
      </c>
    </row>
    <row r="94" spans="1:11" x14ac:dyDescent="0.3">
      <c r="A94" s="2" t="s">
        <v>95</v>
      </c>
      <c r="B94" s="2" t="s">
        <v>6</v>
      </c>
      <c r="C94" s="3">
        <v>5</v>
      </c>
      <c r="D94" s="3">
        <v>0.19500000000000001</v>
      </c>
      <c r="E94" s="3">
        <f>(C94 - MIN(C:C)) / (MAX(C:C) - MIN(C:C))</f>
        <v>0.12770411723656666</v>
      </c>
      <c r="F94" s="3">
        <f>1 - ((D94 - MIN(D:D)) / (MAX(D:D) - MIN(D:D)))</f>
        <v>0.51965065502183405</v>
      </c>
      <c r="G94" s="3">
        <f>0.5 *E94+0.5*F94</f>
        <v>0.32367738612920038</v>
      </c>
      <c r="H94" s="4">
        <v>19</v>
      </c>
      <c r="I94" s="4">
        <v>10</v>
      </c>
      <c r="J94" s="5">
        <f>(I94/H94)</f>
        <v>0.52631578947368418</v>
      </c>
      <c r="K94" s="2" t="s">
        <v>110</v>
      </c>
    </row>
    <row r="95" spans="1:11" x14ac:dyDescent="0.3">
      <c r="A95" s="2" t="s">
        <v>85</v>
      </c>
      <c r="B95" s="2" t="s">
        <v>34</v>
      </c>
      <c r="C95" s="3">
        <v>6.07</v>
      </c>
      <c r="D95" s="3">
        <v>0.21199999999999999</v>
      </c>
      <c r="E95" s="3">
        <f>(C95 - MIN(C:C)) / (MAX(C:C) - MIN(C:C))</f>
        <v>0.20237264480111655</v>
      </c>
      <c r="F95" s="3">
        <f>1 - ((D95 - MIN(D:D)) / (MAX(D:D) - MIN(D:D)))</f>
        <v>0.44541484716157198</v>
      </c>
      <c r="G95" s="3">
        <f>0.5 *E95+0.5*F95</f>
        <v>0.32389374598134424</v>
      </c>
      <c r="H95" s="4">
        <v>19</v>
      </c>
      <c r="I95" s="4">
        <v>14</v>
      </c>
      <c r="J95" s="5">
        <f>(I95/H95)</f>
        <v>0.73684210526315785</v>
      </c>
      <c r="K95" s="2" t="s">
        <v>108</v>
      </c>
    </row>
    <row r="96" spans="1:11" x14ac:dyDescent="0.3">
      <c r="A96" s="2" t="s">
        <v>89</v>
      </c>
      <c r="B96" s="2" t="s">
        <v>6</v>
      </c>
      <c r="C96" s="3">
        <v>4.6900000000000004</v>
      </c>
      <c r="D96" s="3">
        <v>0.189</v>
      </c>
      <c r="E96" s="3">
        <f>(C96 - MIN(C:C)) / (MAX(C:C) - MIN(C:C))</f>
        <v>0.10607117934403353</v>
      </c>
      <c r="F96" s="3">
        <f>1 - ((D96 - MIN(D:D)) / (MAX(D:D) - MIN(D:D)))</f>
        <v>0.54585152838427953</v>
      </c>
      <c r="G96" s="3">
        <f>0.5 *E96+0.5*F96</f>
        <v>0.32596135386415653</v>
      </c>
      <c r="H96" s="4">
        <v>19</v>
      </c>
      <c r="I96" s="4">
        <v>16</v>
      </c>
      <c r="J96" s="5">
        <f>(I96/H96)</f>
        <v>0.84210526315789469</v>
      </c>
      <c r="K96" s="2" t="s">
        <v>109</v>
      </c>
    </row>
    <row r="97" spans="1:11" x14ac:dyDescent="0.3">
      <c r="A97" s="2" t="s">
        <v>86</v>
      </c>
      <c r="B97" s="2" t="s">
        <v>6</v>
      </c>
      <c r="C97" s="3">
        <v>7.12</v>
      </c>
      <c r="D97" s="3">
        <v>0.22700000000000001</v>
      </c>
      <c r="E97" s="3">
        <f>(C97 - MIN(C:C)) / (MAX(C:C) - MIN(C:C))</f>
        <v>0.27564549895324497</v>
      </c>
      <c r="F97" s="3">
        <f>1 - ((D97 - MIN(D:D)) / (MAX(D:D) - MIN(D:D)))</f>
        <v>0.3799126637554584</v>
      </c>
      <c r="G97" s="3">
        <f>0.5 *E97+0.5*F97</f>
        <v>0.32777908135435169</v>
      </c>
      <c r="H97" s="4">
        <v>18</v>
      </c>
      <c r="I97" s="4">
        <v>13</v>
      </c>
      <c r="J97" s="5">
        <f>(I97/H97)</f>
        <v>0.72222222222222221</v>
      </c>
      <c r="K97" s="2" t="s">
        <v>108</v>
      </c>
    </row>
    <row r="98" spans="1:11" x14ac:dyDescent="0.3">
      <c r="A98" s="2" t="s">
        <v>91</v>
      </c>
      <c r="B98" s="2" t="s">
        <v>6</v>
      </c>
      <c r="C98" s="3">
        <v>9.17</v>
      </c>
      <c r="D98" s="3">
        <v>0.25900000000000001</v>
      </c>
      <c r="E98" s="3">
        <f>(C98 - MIN(C:C)) / (MAX(C:C) - MIN(C:C))</f>
        <v>0.41870202372644799</v>
      </c>
      <c r="F98" s="3">
        <f>1 - ((D98 - MIN(D:D)) / (MAX(D:D) - MIN(D:D)))</f>
        <v>0.24017467248908297</v>
      </c>
      <c r="G98" s="3">
        <f>0.5 *E98+0.5*F98</f>
        <v>0.32943834810776551</v>
      </c>
      <c r="H98" s="4">
        <v>19</v>
      </c>
      <c r="I98" s="4">
        <v>10</v>
      </c>
      <c r="J98" s="5">
        <f>(I98/H98)</f>
        <v>0.52631578947368418</v>
      </c>
      <c r="K98" s="2" t="s">
        <v>104</v>
      </c>
    </row>
    <row r="99" spans="1:11" x14ac:dyDescent="0.3">
      <c r="A99" s="2" t="s">
        <v>78</v>
      </c>
      <c r="B99" s="2" t="s">
        <v>8</v>
      </c>
      <c r="C99" s="3">
        <v>6.67</v>
      </c>
      <c r="D99" s="3">
        <v>0.219</v>
      </c>
      <c r="E99" s="3">
        <f>(C99 - MIN(C:C)) / (MAX(C:C) - MIN(C:C))</f>
        <v>0.24424284717376135</v>
      </c>
      <c r="F99" s="3">
        <f>1 - ((D99 - MIN(D:D)) / (MAX(D:D) - MIN(D:D)))</f>
        <v>0.41484716157205237</v>
      </c>
      <c r="G99" s="3">
        <f>0.5 *E99+0.5*F99</f>
        <v>0.32954500437290685</v>
      </c>
      <c r="H99" s="4">
        <v>14</v>
      </c>
      <c r="I99" s="4">
        <v>7</v>
      </c>
      <c r="J99" s="5">
        <f>(I99/H99)</f>
        <v>0.5</v>
      </c>
      <c r="K99" s="2" t="s">
        <v>103</v>
      </c>
    </row>
    <row r="100" spans="1:11" x14ac:dyDescent="0.3">
      <c r="A100" s="2" t="s">
        <v>83</v>
      </c>
      <c r="B100" s="2" t="s">
        <v>32</v>
      </c>
      <c r="C100" s="3">
        <v>5.68</v>
      </c>
      <c r="D100" s="3">
        <v>0.20300000000000001</v>
      </c>
      <c r="E100" s="3">
        <f>(C100 - MIN(C:C)) / (MAX(C:C) - MIN(C:C))</f>
        <v>0.1751570132588974</v>
      </c>
      <c r="F100" s="3">
        <f>1 - ((D100 - MIN(D:D)) / (MAX(D:D) - MIN(D:D)))</f>
        <v>0.48471615720524008</v>
      </c>
      <c r="G100" s="3">
        <f>0.5 *E100+0.5*F100</f>
        <v>0.32993658523206876</v>
      </c>
      <c r="H100" s="4">
        <v>19</v>
      </c>
      <c r="I100" s="4">
        <v>12</v>
      </c>
      <c r="J100" s="5">
        <f>(I100/H100)</f>
        <v>0.63157894736842102</v>
      </c>
      <c r="K100" s="2" t="s">
        <v>105</v>
      </c>
    </row>
    <row r="101" spans="1:11" x14ac:dyDescent="0.3">
      <c r="A101" s="2" t="s">
        <v>95</v>
      </c>
      <c r="B101" s="2" t="s">
        <v>53</v>
      </c>
      <c r="C101" s="3">
        <v>7.5</v>
      </c>
      <c r="D101" s="3">
        <v>0.23200000000000001</v>
      </c>
      <c r="E101" s="3">
        <f>(C101 - MIN(C:C)) / (MAX(C:C) - MIN(C:C))</f>
        <v>0.30216329378925333</v>
      </c>
      <c r="F101" s="3">
        <f>1 - ((D101 - MIN(D:D)) / (MAX(D:D) - MIN(D:D)))</f>
        <v>0.35807860262008717</v>
      </c>
      <c r="G101" s="3">
        <f>0.5 *E101+0.5*F101</f>
        <v>0.33012094820467025</v>
      </c>
      <c r="H101" s="4">
        <v>17</v>
      </c>
      <c r="I101" s="4">
        <v>11</v>
      </c>
      <c r="J101" s="5">
        <f>(I101/H101)</f>
        <v>0.6470588235294118</v>
      </c>
      <c r="K101" s="2" t="s">
        <v>110</v>
      </c>
    </row>
    <row r="102" spans="1:11" x14ac:dyDescent="0.3">
      <c r="A102" s="2" t="s">
        <v>91</v>
      </c>
      <c r="B102" s="2" t="s">
        <v>14</v>
      </c>
      <c r="C102" s="3">
        <v>6.94</v>
      </c>
      <c r="D102" s="3">
        <v>0.223</v>
      </c>
      <c r="E102" s="3">
        <f>(C102 - MIN(C:C)) / (MAX(C:C) - MIN(C:C))</f>
        <v>0.26308443824145156</v>
      </c>
      <c r="F102" s="3">
        <f>1 - ((D102 - MIN(D:D)) / (MAX(D:D) - MIN(D:D)))</f>
        <v>0.39737991266375539</v>
      </c>
      <c r="G102" s="3">
        <f>0.5 *E102+0.5*F102</f>
        <v>0.33023217545260347</v>
      </c>
      <c r="H102" s="4">
        <v>13</v>
      </c>
      <c r="I102" s="4">
        <v>9</v>
      </c>
      <c r="J102" s="5">
        <f>(I102/H102)</f>
        <v>0.69230769230769229</v>
      </c>
      <c r="K102" s="2" t="s">
        <v>104</v>
      </c>
    </row>
    <row r="103" spans="1:11" x14ac:dyDescent="0.3">
      <c r="A103" s="2" t="s">
        <v>78</v>
      </c>
      <c r="B103" s="2" t="s">
        <v>9</v>
      </c>
      <c r="C103" s="3">
        <v>8.2100000000000009</v>
      </c>
      <c r="D103" s="3">
        <v>0.24299999999999999</v>
      </c>
      <c r="E103" s="3">
        <f>(C103 - MIN(C:C)) / (MAX(C:C) - MIN(C:C))</f>
        <v>0.35170969993021639</v>
      </c>
      <c r="F103" s="3">
        <f>1 - ((D103 - MIN(D:D)) / (MAX(D:D) - MIN(D:D)))</f>
        <v>0.3100436681222708</v>
      </c>
      <c r="G103" s="3">
        <f>0.5 *E103+0.5*F103</f>
        <v>0.33087668402624359</v>
      </c>
      <c r="H103" s="4">
        <v>16</v>
      </c>
      <c r="I103" s="4">
        <v>7</v>
      </c>
      <c r="J103" s="5">
        <f>(I103/H103)</f>
        <v>0.4375</v>
      </c>
      <c r="K103" s="2" t="s">
        <v>103</v>
      </c>
    </row>
    <row r="104" spans="1:11" x14ac:dyDescent="0.3">
      <c r="A104" s="2" t="s">
        <v>85</v>
      </c>
      <c r="B104" s="2" t="s">
        <v>6</v>
      </c>
      <c r="C104" s="3">
        <v>7.5</v>
      </c>
      <c r="D104" s="3">
        <v>0.23100000000000001</v>
      </c>
      <c r="E104" s="3">
        <f>(C104 - MIN(C:C)) / (MAX(C:C) - MIN(C:C))</f>
        <v>0.30216329378925333</v>
      </c>
      <c r="F104" s="3">
        <f>1 - ((D104 - MIN(D:D)) / (MAX(D:D) - MIN(D:D)))</f>
        <v>0.36244541484716142</v>
      </c>
      <c r="G104" s="3">
        <f>0.5 *E104+0.5*F104</f>
        <v>0.33230435431820737</v>
      </c>
      <c r="H104" s="4">
        <v>19</v>
      </c>
      <c r="I104" s="4">
        <v>9</v>
      </c>
      <c r="J104" s="5">
        <f>(I104/H104)</f>
        <v>0.47368421052631576</v>
      </c>
      <c r="K104" s="2" t="s">
        <v>108</v>
      </c>
    </row>
    <row r="105" spans="1:11" x14ac:dyDescent="0.3">
      <c r="A105" s="2" t="s">
        <v>83</v>
      </c>
      <c r="B105" s="2" t="s">
        <v>6</v>
      </c>
      <c r="C105" s="3">
        <v>6.25</v>
      </c>
      <c r="D105" s="3">
        <v>0.21099999999999999</v>
      </c>
      <c r="E105" s="3">
        <f>(C105 - MIN(C:C)) / (MAX(C:C) - MIN(C:C))</f>
        <v>0.21493370551290999</v>
      </c>
      <c r="F105" s="3">
        <f>1 - ((D105 - MIN(D:D)) / (MAX(D:D) - MIN(D:D)))</f>
        <v>0.44978165938864623</v>
      </c>
      <c r="G105" s="3">
        <f>0.5 *E105+0.5*F105</f>
        <v>0.33235768245077812</v>
      </c>
      <c r="H105" s="4">
        <v>19</v>
      </c>
      <c r="I105" s="4">
        <v>12</v>
      </c>
      <c r="J105" s="5">
        <f>(I105/H105)</f>
        <v>0.63157894736842102</v>
      </c>
      <c r="K105" s="2" t="s">
        <v>105</v>
      </c>
    </row>
    <row r="106" spans="1:11" x14ac:dyDescent="0.3">
      <c r="A106" s="2" t="s">
        <v>95</v>
      </c>
      <c r="B106" s="2" t="s">
        <v>8</v>
      </c>
      <c r="C106" s="3">
        <v>5</v>
      </c>
      <c r="D106" s="3">
        <v>0.191</v>
      </c>
      <c r="E106" s="3">
        <f>(C106 - MIN(C:C)) / (MAX(C:C) - MIN(C:C))</f>
        <v>0.12770411723656666</v>
      </c>
      <c r="F106" s="3">
        <f>1 - ((D106 - MIN(D:D)) / (MAX(D:D) - MIN(D:D)))</f>
        <v>0.53711790393013104</v>
      </c>
      <c r="G106" s="3">
        <f>0.5 *E106+0.5*F106</f>
        <v>0.33241101058334888</v>
      </c>
      <c r="H106" s="4">
        <v>15</v>
      </c>
      <c r="I106" s="4">
        <v>8</v>
      </c>
      <c r="J106" s="5">
        <f>(I106/H106)</f>
        <v>0.53333333333333333</v>
      </c>
      <c r="K106" s="2" t="s">
        <v>110</v>
      </c>
    </row>
    <row r="107" spans="1:11" x14ac:dyDescent="0.3">
      <c r="A107" s="2" t="s">
        <v>97</v>
      </c>
      <c r="B107" s="2" t="s">
        <v>14</v>
      </c>
      <c r="C107" s="3">
        <v>6.79</v>
      </c>
      <c r="D107" s="3">
        <v>0.219</v>
      </c>
      <c r="E107" s="3">
        <f>(C107 - MIN(C:C)) / (MAX(C:C) - MIN(C:C))</f>
        <v>0.25261688764829032</v>
      </c>
      <c r="F107" s="3">
        <f>1 - ((D107 - MIN(D:D)) / (MAX(D:D) - MIN(D:D)))</f>
        <v>0.41484716157205237</v>
      </c>
      <c r="G107" s="3">
        <f>0.5 *E107+0.5*F107</f>
        <v>0.33373202461017137</v>
      </c>
      <c r="H107" s="4">
        <v>14</v>
      </c>
      <c r="I107" s="4">
        <v>7</v>
      </c>
      <c r="J107" s="5">
        <f>(I107/H107)</f>
        <v>0.5</v>
      </c>
      <c r="K107" s="2" t="s">
        <v>107</v>
      </c>
    </row>
    <row r="108" spans="1:11" x14ac:dyDescent="0.3">
      <c r="A108" s="2" t="s">
        <v>89</v>
      </c>
      <c r="B108" s="2" t="s">
        <v>42</v>
      </c>
      <c r="C108" s="3">
        <v>6</v>
      </c>
      <c r="D108" s="3">
        <v>0.20599999999999999</v>
      </c>
      <c r="E108" s="3">
        <f>(C108 - MIN(C:C)) / (MAX(C:C) - MIN(C:C))</f>
        <v>0.19748778785764132</v>
      </c>
      <c r="F108" s="3">
        <f>1 - ((D108 - MIN(D:D)) / (MAX(D:D) - MIN(D:D)))</f>
        <v>0.47161572052401746</v>
      </c>
      <c r="G108" s="3">
        <f>0.5 *E108+0.5*F108</f>
        <v>0.33455175419082939</v>
      </c>
      <c r="H108" s="4">
        <v>18</v>
      </c>
      <c r="I108" s="4">
        <v>10</v>
      </c>
      <c r="J108" s="5">
        <f>(I108/H108)</f>
        <v>0.55555555555555558</v>
      </c>
      <c r="K108" s="2" t="s">
        <v>109</v>
      </c>
    </row>
    <row r="109" spans="1:11" x14ac:dyDescent="0.3">
      <c r="A109" s="2" t="s">
        <v>77</v>
      </c>
      <c r="B109" s="2" t="s">
        <v>14</v>
      </c>
      <c r="C109" s="3">
        <v>5.36</v>
      </c>
      <c r="D109" s="3">
        <v>0.19500000000000001</v>
      </c>
      <c r="E109" s="3">
        <f>(C109 - MIN(C:C)) / (MAX(C:C) - MIN(C:C))</f>
        <v>0.15282623866015355</v>
      </c>
      <c r="F109" s="3">
        <f>1 - ((D109 - MIN(D:D)) / (MAX(D:D) - MIN(D:D)))</f>
        <v>0.51965065502183405</v>
      </c>
      <c r="G109" s="3">
        <f>0.5 *E109+0.5*F109</f>
        <v>0.3362384468409938</v>
      </c>
      <c r="H109" s="4">
        <v>19</v>
      </c>
      <c r="I109" s="4">
        <v>14</v>
      </c>
      <c r="J109" s="5">
        <f>(I109/H109)</f>
        <v>0.73684210526315785</v>
      </c>
      <c r="K109" s="2" t="s">
        <v>103</v>
      </c>
    </row>
    <row r="110" spans="1:11" x14ac:dyDescent="0.3">
      <c r="A110" s="2" t="s">
        <v>89</v>
      </c>
      <c r="B110" s="2" t="s">
        <v>26</v>
      </c>
      <c r="C110" s="3">
        <v>5.62</v>
      </c>
      <c r="D110" s="3">
        <v>0.19900000000000001</v>
      </c>
      <c r="E110" s="3">
        <f>(C110 - MIN(C:C)) / (MAX(C:C) - MIN(C:C))</f>
        <v>0.17096999302163296</v>
      </c>
      <c r="F110" s="3">
        <f>1 - ((D110 - MIN(D:D)) / (MAX(D:D) - MIN(D:D)))</f>
        <v>0.50218340611353707</v>
      </c>
      <c r="G110" s="3">
        <f>0.5 *E110+0.5*F110</f>
        <v>0.33657669956758501</v>
      </c>
      <c r="H110" s="4">
        <v>14</v>
      </c>
      <c r="I110" s="4">
        <v>8</v>
      </c>
      <c r="J110" s="5">
        <f>(I110/H110)</f>
        <v>0.5714285714285714</v>
      </c>
      <c r="K110" s="2" t="s">
        <v>109</v>
      </c>
    </row>
    <row r="111" spans="1:11" x14ac:dyDescent="0.3">
      <c r="A111" s="2" t="s">
        <v>88</v>
      </c>
      <c r="B111" s="2" t="s">
        <v>18</v>
      </c>
      <c r="C111" s="3">
        <v>6.07</v>
      </c>
      <c r="D111" s="3">
        <v>0.20599999999999999</v>
      </c>
      <c r="E111" s="3">
        <f>(C111 - MIN(C:C)) / (MAX(C:C) - MIN(C:C))</f>
        <v>0.20237264480111655</v>
      </c>
      <c r="F111" s="3">
        <f>1 - ((D111 - MIN(D:D)) / (MAX(D:D) - MIN(D:D)))</f>
        <v>0.47161572052401746</v>
      </c>
      <c r="G111" s="3">
        <f>0.5 *E111+0.5*F111</f>
        <v>0.33699418266256698</v>
      </c>
      <c r="H111" s="4">
        <v>18</v>
      </c>
      <c r="I111" s="4">
        <v>14</v>
      </c>
      <c r="J111" s="5">
        <f>(I111/H111)</f>
        <v>0.77777777777777779</v>
      </c>
      <c r="K111" s="2" t="s">
        <v>109</v>
      </c>
    </row>
    <row r="112" spans="1:11" x14ac:dyDescent="0.3">
      <c r="A112" s="2" t="s">
        <v>78</v>
      </c>
      <c r="B112" s="2" t="s">
        <v>45</v>
      </c>
      <c r="C112" s="3">
        <v>4.6399999999999997</v>
      </c>
      <c r="D112" s="3">
        <v>0.183</v>
      </c>
      <c r="E112" s="3">
        <f>(C112 - MIN(C:C)) / (MAX(C:C) - MIN(C:C))</f>
        <v>0.10258199581297975</v>
      </c>
      <c r="F112" s="3">
        <f>1 - ((D112 - MIN(D:D)) / (MAX(D:D) - MIN(D:D)))</f>
        <v>0.57205240174672489</v>
      </c>
      <c r="G112" s="3">
        <f>0.5 *E112+0.5*F112</f>
        <v>0.33731719877985233</v>
      </c>
      <c r="H112" s="4">
        <v>15</v>
      </c>
      <c r="I112" s="4">
        <v>8</v>
      </c>
      <c r="J112" s="5">
        <f>(I112/H112)</f>
        <v>0.53333333333333333</v>
      </c>
      <c r="K112" s="2" t="s">
        <v>103</v>
      </c>
    </row>
    <row r="113" spans="1:11" x14ac:dyDescent="0.3">
      <c r="A113" s="2" t="s">
        <v>91</v>
      </c>
      <c r="B113" s="2" t="s">
        <v>6</v>
      </c>
      <c r="C113" s="3">
        <v>5.96</v>
      </c>
      <c r="D113" s="3">
        <v>0.20399999999999999</v>
      </c>
      <c r="E113" s="3">
        <f>(C113 - MIN(C:C)) / (MAX(C:C) - MIN(C:C))</f>
        <v>0.19469644103279832</v>
      </c>
      <c r="F113" s="3">
        <f>1 - ((D113 - MIN(D:D)) / (MAX(D:D) - MIN(D:D)))</f>
        <v>0.48034934497816595</v>
      </c>
      <c r="G113" s="3">
        <f>0.5 *E113+0.5*F113</f>
        <v>0.33752289300548211</v>
      </c>
      <c r="H113" s="4">
        <v>18</v>
      </c>
      <c r="I113" s="4">
        <v>13</v>
      </c>
      <c r="J113" s="5">
        <f>(I113/H113)</f>
        <v>0.72222222222222221</v>
      </c>
      <c r="K113" s="2" t="s">
        <v>104</v>
      </c>
    </row>
    <row r="114" spans="1:11" x14ac:dyDescent="0.3">
      <c r="A114" s="2" t="s">
        <v>92</v>
      </c>
      <c r="B114" s="2" t="s">
        <v>6</v>
      </c>
      <c r="C114" s="3">
        <v>6.59</v>
      </c>
      <c r="D114" s="3">
        <v>0.21199999999999999</v>
      </c>
      <c r="E114" s="3">
        <f>(C114 - MIN(C:C)) / (MAX(C:C) - MIN(C:C))</f>
        <v>0.23866015352407535</v>
      </c>
      <c r="F114" s="3">
        <f>1 - ((D114 - MIN(D:D)) / (MAX(D:D) - MIN(D:D)))</f>
        <v>0.44541484716157198</v>
      </c>
      <c r="G114" s="3">
        <f>0.5 *E114+0.5*F114</f>
        <v>0.34203750034282365</v>
      </c>
      <c r="H114" s="4">
        <v>19</v>
      </c>
      <c r="I114" s="4">
        <v>11</v>
      </c>
      <c r="J114" s="5">
        <f>(I114/H114)</f>
        <v>0.57894736842105265</v>
      </c>
      <c r="K114" s="2" t="s">
        <v>104</v>
      </c>
    </row>
    <row r="115" spans="1:11" x14ac:dyDescent="0.3">
      <c r="A115" s="2" t="s">
        <v>78</v>
      </c>
      <c r="B115" s="2" t="s">
        <v>47</v>
      </c>
      <c r="C115" s="3">
        <v>7.5</v>
      </c>
      <c r="D115" s="3">
        <v>0.22600000000000001</v>
      </c>
      <c r="E115" s="3">
        <f>(C115 - MIN(C:C)) / (MAX(C:C) - MIN(C:C))</f>
        <v>0.30216329378925333</v>
      </c>
      <c r="F115" s="3">
        <f>1 - ((D115 - MIN(D:D)) / (MAX(D:D) - MIN(D:D)))</f>
        <v>0.38427947598253265</v>
      </c>
      <c r="G115" s="3">
        <f>0.5 *E115+0.5*F115</f>
        <v>0.34322138488589299</v>
      </c>
      <c r="H115" s="4">
        <v>18</v>
      </c>
      <c r="I115" s="4">
        <v>8</v>
      </c>
      <c r="J115" s="5">
        <f>(I115/H115)</f>
        <v>0.44444444444444442</v>
      </c>
      <c r="K115" s="2" t="s">
        <v>103</v>
      </c>
    </row>
    <row r="116" spans="1:11" x14ac:dyDescent="0.3">
      <c r="A116" s="2" t="s">
        <v>94</v>
      </c>
      <c r="B116" s="2" t="s">
        <v>6</v>
      </c>
      <c r="C116" s="3">
        <v>5.58</v>
      </c>
      <c r="D116" s="3">
        <v>0.19500000000000001</v>
      </c>
      <c r="E116" s="3">
        <f>(C116 - MIN(C:C)) / (MAX(C:C) - MIN(C:C))</f>
        <v>0.16817864619678996</v>
      </c>
      <c r="F116" s="3">
        <f>1 - ((D116 - MIN(D:D)) / (MAX(D:D) - MIN(D:D)))</f>
        <v>0.51965065502183405</v>
      </c>
      <c r="G116" s="3">
        <f>0.5 *E116+0.5*F116</f>
        <v>0.34391465060931203</v>
      </c>
      <c r="H116" s="4">
        <v>18</v>
      </c>
      <c r="I116" s="4">
        <v>13</v>
      </c>
      <c r="J116" s="5">
        <f>(I116/H116)</f>
        <v>0.72222222222222221</v>
      </c>
      <c r="K116" s="2" t="s">
        <v>110</v>
      </c>
    </row>
    <row r="117" spans="1:11" x14ac:dyDescent="0.3">
      <c r="A117" s="2" t="s">
        <v>86</v>
      </c>
      <c r="B117" s="2" t="s">
        <v>6</v>
      </c>
      <c r="C117" s="3">
        <v>6.67</v>
      </c>
      <c r="D117" s="3">
        <v>0.21199999999999999</v>
      </c>
      <c r="E117" s="3">
        <f>(C117 - MIN(C:C)) / (MAX(C:C) - MIN(C:C))</f>
        <v>0.24424284717376135</v>
      </c>
      <c r="F117" s="3">
        <f>1 - ((D117 - MIN(D:D)) / (MAX(D:D) - MIN(D:D)))</f>
        <v>0.44541484716157198</v>
      </c>
      <c r="G117" s="3">
        <f>0.5 *E117+0.5*F117</f>
        <v>0.34482884716766665</v>
      </c>
      <c r="H117" s="4">
        <v>19</v>
      </c>
      <c r="I117" s="4">
        <v>12</v>
      </c>
      <c r="J117" s="5">
        <f>(I117/H117)</f>
        <v>0.63157894736842102</v>
      </c>
      <c r="K117" s="2" t="s">
        <v>108</v>
      </c>
    </row>
    <row r="118" spans="1:11" x14ac:dyDescent="0.3">
      <c r="A118" s="2" t="s">
        <v>84</v>
      </c>
      <c r="B118" s="2" t="s">
        <v>6</v>
      </c>
      <c r="C118" s="3">
        <v>5.93</v>
      </c>
      <c r="D118" s="3">
        <v>0.2</v>
      </c>
      <c r="E118" s="3">
        <f>(C118 - MIN(C:C)) / (MAX(C:C) - MIN(C:C))</f>
        <v>0.19260293091416608</v>
      </c>
      <c r="F118" s="3">
        <f>1 - ((D118 - MIN(D:D)) / (MAX(D:D) - MIN(D:D)))</f>
        <v>0.49781659388646282</v>
      </c>
      <c r="G118" s="3">
        <f>0.5 *E118+0.5*F118</f>
        <v>0.34520976240031442</v>
      </c>
      <c r="H118" s="4">
        <v>13</v>
      </c>
      <c r="I118" s="4">
        <v>12</v>
      </c>
      <c r="J118" s="5">
        <f>(I118/H118)</f>
        <v>0.92307692307692313</v>
      </c>
      <c r="K118" s="2" t="s">
        <v>105</v>
      </c>
    </row>
    <row r="119" spans="1:11" x14ac:dyDescent="0.3">
      <c r="A119" s="2" t="s">
        <v>84</v>
      </c>
      <c r="B119" s="2" t="s">
        <v>6</v>
      </c>
      <c r="C119" s="3">
        <v>7.5</v>
      </c>
      <c r="D119" s="3">
        <v>0.22500000000000001</v>
      </c>
      <c r="E119" s="3">
        <f>(C119 - MIN(C:C)) / (MAX(C:C) - MIN(C:C))</f>
        <v>0.30216329378925333</v>
      </c>
      <c r="F119" s="3">
        <f>1 - ((D119 - MIN(D:D)) / (MAX(D:D) - MIN(D:D)))</f>
        <v>0.38864628820960689</v>
      </c>
      <c r="G119" s="3">
        <f>0.5 *E119+0.5*F119</f>
        <v>0.34540479099943011</v>
      </c>
      <c r="H119" s="4">
        <v>19</v>
      </c>
      <c r="I119" s="4">
        <v>10</v>
      </c>
      <c r="J119" s="5">
        <f>(I119/H119)</f>
        <v>0.52631578947368418</v>
      </c>
      <c r="K119" s="2" t="s">
        <v>105</v>
      </c>
    </row>
    <row r="120" spans="1:11" x14ac:dyDescent="0.3">
      <c r="A120" s="2" t="s">
        <v>99</v>
      </c>
      <c r="B120" s="2" t="s">
        <v>7</v>
      </c>
      <c r="C120" s="3">
        <v>6.88</v>
      </c>
      <c r="D120" s="3">
        <v>0.215</v>
      </c>
      <c r="E120" s="3">
        <f>(C120 - MIN(C:C)) / (MAX(C:C) - MIN(C:C))</f>
        <v>0.25889741800418703</v>
      </c>
      <c r="F120" s="3">
        <f>1 - ((D120 - MIN(D:D)) / (MAX(D:D) - MIN(D:D)))</f>
        <v>0.43231441048034924</v>
      </c>
      <c r="G120" s="3">
        <f>0.5 *E120+0.5*F120</f>
        <v>0.34560591424226816</v>
      </c>
      <c r="H120" s="4">
        <v>15</v>
      </c>
      <c r="I120" s="4">
        <v>8</v>
      </c>
      <c r="J120" s="5">
        <f>(I120/H120)</f>
        <v>0.53333333333333333</v>
      </c>
      <c r="K120" s="2" t="s">
        <v>107</v>
      </c>
    </row>
    <row r="121" spans="1:11" x14ac:dyDescent="0.3">
      <c r="A121" s="2" t="s">
        <v>95</v>
      </c>
      <c r="B121" s="2" t="s">
        <v>27</v>
      </c>
      <c r="C121" s="3">
        <v>4.6900000000000004</v>
      </c>
      <c r="D121" s="3">
        <v>0.17899999999999999</v>
      </c>
      <c r="E121" s="3">
        <f>(C121 - MIN(C:C)) / (MAX(C:C) - MIN(C:C))</f>
        <v>0.10607117934403353</v>
      </c>
      <c r="F121" s="3">
        <f>1 - ((D121 - MIN(D:D)) / (MAX(D:D) - MIN(D:D)))</f>
        <v>0.58951965065502188</v>
      </c>
      <c r="G121" s="3">
        <f>0.5 *E121+0.5*F121</f>
        <v>0.34779541499952771</v>
      </c>
      <c r="H121" s="4">
        <v>19</v>
      </c>
      <c r="I121" s="4">
        <v>16</v>
      </c>
      <c r="J121" s="5">
        <f>(I121/H121)</f>
        <v>0.84210526315789469</v>
      </c>
      <c r="K121" s="2" t="s">
        <v>110</v>
      </c>
    </row>
    <row r="122" spans="1:11" x14ac:dyDescent="0.3">
      <c r="A122" s="2" t="s">
        <v>95</v>
      </c>
      <c r="B122" s="2" t="s">
        <v>22</v>
      </c>
      <c r="C122" s="3">
        <v>6.07</v>
      </c>
      <c r="D122" s="3">
        <v>0.2</v>
      </c>
      <c r="E122" s="3">
        <f>(C122 - MIN(C:C)) / (MAX(C:C) - MIN(C:C))</f>
        <v>0.20237264480111655</v>
      </c>
      <c r="F122" s="3">
        <f>1 - ((D122 - MIN(D:D)) / (MAX(D:D) - MIN(D:D)))</f>
        <v>0.49781659388646282</v>
      </c>
      <c r="G122" s="3">
        <f>0.5 *E122+0.5*F122</f>
        <v>0.35009461934378971</v>
      </c>
      <c r="H122" s="4">
        <v>19</v>
      </c>
      <c r="I122" s="4">
        <v>14</v>
      </c>
      <c r="J122" s="5">
        <f>(I122/H122)</f>
        <v>0.73684210526315785</v>
      </c>
      <c r="K122" s="2" t="s">
        <v>110</v>
      </c>
    </row>
    <row r="123" spans="1:11" x14ac:dyDescent="0.3">
      <c r="A123" s="2" t="s">
        <v>88</v>
      </c>
      <c r="B123" s="2" t="s">
        <v>6</v>
      </c>
      <c r="C123" s="3">
        <v>9.69</v>
      </c>
      <c r="D123" s="3">
        <v>0.25700000000000001</v>
      </c>
      <c r="E123" s="3">
        <f>(C123 - MIN(C:C)) / (MAX(C:C) - MIN(C:C))</f>
        <v>0.45498953244940682</v>
      </c>
      <c r="F123" s="3">
        <f>1 - ((D123 - MIN(D:D)) / (MAX(D:D) - MIN(D:D)))</f>
        <v>0.24890829694323147</v>
      </c>
      <c r="G123" s="3">
        <f>0.5 *E123+0.5*F123</f>
        <v>0.35194891469631917</v>
      </c>
      <c r="H123" s="4">
        <v>16</v>
      </c>
      <c r="I123" s="4">
        <v>16</v>
      </c>
      <c r="J123" s="5">
        <f>(I123/H123)</f>
        <v>1</v>
      </c>
      <c r="K123" s="2" t="s">
        <v>109</v>
      </c>
    </row>
    <row r="124" spans="1:11" x14ac:dyDescent="0.3">
      <c r="A124" s="2" t="s">
        <v>85</v>
      </c>
      <c r="B124" s="2" t="s">
        <v>6</v>
      </c>
      <c r="C124" s="3">
        <v>6.5</v>
      </c>
      <c r="D124" s="3">
        <v>0.20599999999999999</v>
      </c>
      <c r="E124" s="3">
        <f>(C124 - MIN(C:C)) / (MAX(C:C) - MIN(C:C))</f>
        <v>0.23237962316817865</v>
      </c>
      <c r="F124" s="3">
        <f>1 - ((D124 - MIN(D:D)) / (MAX(D:D) - MIN(D:D)))</f>
        <v>0.47161572052401746</v>
      </c>
      <c r="G124" s="3">
        <f>0.5 *E124+0.5*F124</f>
        <v>0.35199767184609804</v>
      </c>
      <c r="H124" s="4">
        <v>17</v>
      </c>
      <c r="I124" s="4">
        <v>8</v>
      </c>
      <c r="J124" s="5">
        <f>(I124/H124)</f>
        <v>0.47058823529411764</v>
      </c>
      <c r="K124" s="2" t="s">
        <v>108</v>
      </c>
    </row>
    <row r="125" spans="1:11" x14ac:dyDescent="0.3">
      <c r="A125" s="2" t="s">
        <v>80</v>
      </c>
      <c r="B125" s="2" t="s">
        <v>15</v>
      </c>
      <c r="C125" s="3">
        <v>6.25</v>
      </c>
      <c r="D125" s="3">
        <v>0.2</v>
      </c>
      <c r="E125" s="3">
        <f>(C125 - MIN(C:C)) / (MAX(C:C) - MIN(C:C))</f>
        <v>0.21493370551290999</v>
      </c>
      <c r="F125" s="3">
        <f>1 - ((D125 - MIN(D:D)) / (MAX(D:D) - MIN(D:D)))</f>
        <v>0.49781659388646282</v>
      </c>
      <c r="G125" s="3">
        <f>0.5 *E125+0.5*F125</f>
        <v>0.35637514969968642</v>
      </c>
      <c r="H125" s="4">
        <v>19</v>
      </c>
      <c r="I125" s="4">
        <v>8</v>
      </c>
      <c r="J125" s="5">
        <f>(I125/H125)</f>
        <v>0.42105263157894735</v>
      </c>
      <c r="K125" s="2" t="s">
        <v>106</v>
      </c>
    </row>
    <row r="126" spans="1:11" x14ac:dyDescent="0.3">
      <c r="A126" s="2" t="s">
        <v>92</v>
      </c>
      <c r="B126" s="2" t="s">
        <v>6</v>
      </c>
      <c r="C126" s="3">
        <v>8.5</v>
      </c>
      <c r="D126" s="3">
        <v>0.23499999999999999</v>
      </c>
      <c r="E126" s="3">
        <f>(C126 - MIN(C:C)) / (MAX(C:C) - MIN(C:C))</f>
        <v>0.37194696441032798</v>
      </c>
      <c r="F126" s="3">
        <f>1 - ((D126 - MIN(D:D)) / (MAX(D:D) - MIN(D:D)))</f>
        <v>0.34497816593886477</v>
      </c>
      <c r="G126" s="3">
        <f>0.5 *E126+0.5*F126</f>
        <v>0.3584625651745964</v>
      </c>
      <c r="H126" s="4">
        <v>18</v>
      </c>
      <c r="I126" s="4">
        <v>10</v>
      </c>
      <c r="J126" s="5">
        <f>(I126/H126)</f>
        <v>0.55555555555555558</v>
      </c>
      <c r="K126" s="2" t="s">
        <v>104</v>
      </c>
    </row>
    <row r="127" spans="1:11" x14ac:dyDescent="0.3">
      <c r="A127" s="2" t="s">
        <v>84</v>
      </c>
      <c r="B127" s="2" t="s">
        <v>36</v>
      </c>
      <c r="C127" s="3">
        <v>7.5</v>
      </c>
      <c r="D127" s="3">
        <v>0.219</v>
      </c>
      <c r="E127" s="3">
        <f>(C127 - MIN(C:C)) / (MAX(C:C) - MIN(C:C))</f>
        <v>0.30216329378925333</v>
      </c>
      <c r="F127" s="3">
        <f>1 - ((D127 - MIN(D:D)) / (MAX(D:D) - MIN(D:D)))</f>
        <v>0.41484716157205237</v>
      </c>
      <c r="G127" s="3">
        <f>0.5 *E127+0.5*F127</f>
        <v>0.35850522768065285</v>
      </c>
      <c r="H127" s="4">
        <v>16</v>
      </c>
      <c r="I127" s="4">
        <v>7</v>
      </c>
      <c r="J127" s="5">
        <f>(I127/H127)</f>
        <v>0.4375</v>
      </c>
      <c r="K127" s="2" t="s">
        <v>105</v>
      </c>
    </row>
    <row r="128" spans="1:11" x14ac:dyDescent="0.3">
      <c r="A128" s="2" t="s">
        <v>85</v>
      </c>
      <c r="B128" s="2" t="s">
        <v>6</v>
      </c>
      <c r="C128" s="3">
        <v>5.28</v>
      </c>
      <c r="D128" s="3">
        <v>0.182</v>
      </c>
      <c r="E128" s="3">
        <f>(C128 - MIN(C:C)) / (MAX(C:C) - MIN(C:C))</f>
        <v>0.14724354501046757</v>
      </c>
      <c r="F128" s="3">
        <f>1 - ((D128 - MIN(D:D)) / (MAX(D:D) - MIN(D:D)))</f>
        <v>0.57641921397379914</v>
      </c>
      <c r="G128" s="3">
        <f>0.5 *E128+0.5*F128</f>
        <v>0.36183137949213334</v>
      </c>
      <c r="H128" s="4">
        <v>18</v>
      </c>
      <c r="I128" s="4">
        <v>9</v>
      </c>
      <c r="J128" s="5">
        <f>(I128/H128)</f>
        <v>0.5</v>
      </c>
      <c r="K128" s="2" t="s">
        <v>108</v>
      </c>
    </row>
    <row r="129" spans="1:11" x14ac:dyDescent="0.3">
      <c r="A129" s="2" t="s">
        <v>83</v>
      </c>
      <c r="B129" s="2" t="s">
        <v>37</v>
      </c>
      <c r="C129" s="3">
        <v>7.05</v>
      </c>
      <c r="D129" s="3">
        <v>0.20899999999999999</v>
      </c>
      <c r="E129" s="3">
        <f>(C129 - MIN(C:C)) / (MAX(C:C) - MIN(C:C))</f>
        <v>0.27076064200976968</v>
      </c>
      <c r="F129" s="3">
        <f>1 - ((D129 - MIN(D:D)) / (MAX(D:D) - MIN(D:D)))</f>
        <v>0.45851528384279483</v>
      </c>
      <c r="G129" s="3">
        <f>0.5 *E129+0.5*F129</f>
        <v>0.36463796292628226</v>
      </c>
      <c r="H129" s="4">
        <v>17</v>
      </c>
      <c r="I129" s="4">
        <v>11</v>
      </c>
      <c r="J129" s="5">
        <f>(I129/H129)</f>
        <v>0.6470588235294118</v>
      </c>
      <c r="K129" s="2" t="s">
        <v>105</v>
      </c>
    </row>
    <row r="130" spans="1:11" x14ac:dyDescent="0.3">
      <c r="A130" s="2" t="s">
        <v>81</v>
      </c>
      <c r="B130" s="2" t="s">
        <v>6</v>
      </c>
      <c r="C130" s="3">
        <v>7.12</v>
      </c>
      <c r="D130" s="3">
        <v>0.20899999999999999</v>
      </c>
      <c r="E130" s="3">
        <f>(C130 - MIN(C:C)) / (MAX(C:C) - MIN(C:C))</f>
        <v>0.27564549895324497</v>
      </c>
      <c r="F130" s="3">
        <f>1 - ((D130 - MIN(D:D)) / (MAX(D:D) - MIN(D:D)))</f>
        <v>0.45851528384279483</v>
      </c>
      <c r="G130" s="3">
        <f>0.5 *E130+0.5*F130</f>
        <v>0.3670803913980199</v>
      </c>
      <c r="H130" s="4">
        <v>18</v>
      </c>
      <c r="I130" s="4">
        <v>13</v>
      </c>
      <c r="J130" s="5">
        <f>(I130/H130)</f>
        <v>0.72222222222222221</v>
      </c>
      <c r="K130" s="2" t="s">
        <v>106</v>
      </c>
    </row>
    <row r="131" spans="1:11" x14ac:dyDescent="0.3">
      <c r="A131" s="2" t="s">
        <v>94</v>
      </c>
      <c r="B131" s="2" t="s">
        <v>11</v>
      </c>
      <c r="C131" s="3">
        <v>5.5</v>
      </c>
      <c r="D131" s="3">
        <v>0.183</v>
      </c>
      <c r="E131" s="3">
        <f>(C131 - MIN(C:C)) / (MAX(C:C) - MIN(C:C))</f>
        <v>0.16259595254710399</v>
      </c>
      <c r="F131" s="3">
        <f>1 - ((D131 - MIN(D:D)) / (MAX(D:D) - MIN(D:D)))</f>
        <v>0.57205240174672489</v>
      </c>
      <c r="G131" s="3">
        <f>0.5 *E131+0.5*F131</f>
        <v>0.36732417714691445</v>
      </c>
      <c r="H131" s="4">
        <v>17</v>
      </c>
      <c r="I131" s="4">
        <v>10</v>
      </c>
      <c r="J131" s="5">
        <f>(I131/H131)</f>
        <v>0.58823529411764708</v>
      </c>
      <c r="K131" s="2" t="s">
        <v>110</v>
      </c>
    </row>
    <row r="132" spans="1:11" x14ac:dyDescent="0.3">
      <c r="A132" s="2" t="s">
        <v>97</v>
      </c>
      <c r="B132" s="2" t="s">
        <v>6</v>
      </c>
      <c r="C132" s="3">
        <v>6.83</v>
      </c>
      <c r="D132" s="3">
        <v>0.20399999999999999</v>
      </c>
      <c r="E132" s="3">
        <f>(C132 - MIN(C:C)) / (MAX(C:C) - MIN(C:C))</f>
        <v>0.25540823447313332</v>
      </c>
      <c r="F132" s="3">
        <f>1 - ((D132 - MIN(D:D)) / (MAX(D:D) - MIN(D:D)))</f>
        <v>0.48034934497816595</v>
      </c>
      <c r="G132" s="3">
        <f>0.5 *E132+0.5*F132</f>
        <v>0.36787878972564964</v>
      </c>
      <c r="H132" s="4">
        <v>18</v>
      </c>
      <c r="I132" s="4">
        <v>15</v>
      </c>
      <c r="J132" s="5">
        <f>(I132/H132)</f>
        <v>0.83333333333333337</v>
      </c>
      <c r="K132" s="2" t="s">
        <v>107</v>
      </c>
    </row>
    <row r="133" spans="1:11" x14ac:dyDescent="0.3">
      <c r="A133" s="2" t="s">
        <v>86</v>
      </c>
      <c r="B133" s="2" t="s">
        <v>6</v>
      </c>
      <c r="C133" s="3">
        <v>5.62</v>
      </c>
      <c r="D133" s="3">
        <v>0.184</v>
      </c>
      <c r="E133" s="3">
        <f>(C133 - MIN(C:C)) / (MAX(C:C) - MIN(C:C))</f>
        <v>0.17096999302163296</v>
      </c>
      <c r="F133" s="3">
        <f>1 - ((D133 - MIN(D:D)) / (MAX(D:D) - MIN(D:D)))</f>
        <v>0.56768558951965065</v>
      </c>
      <c r="G133" s="3">
        <f>0.5 *E133+0.5*F133</f>
        <v>0.3693277912706418</v>
      </c>
      <c r="H133" s="4">
        <v>17</v>
      </c>
      <c r="I133" s="4">
        <v>8</v>
      </c>
      <c r="J133" s="5">
        <f>(I133/H133)</f>
        <v>0.47058823529411764</v>
      </c>
      <c r="K133" s="2" t="s">
        <v>108</v>
      </c>
    </row>
    <row r="134" spans="1:11" x14ac:dyDescent="0.3">
      <c r="A134" s="2" t="s">
        <v>92</v>
      </c>
      <c r="B134" s="2" t="s">
        <v>6</v>
      </c>
      <c r="C134" s="3">
        <v>8.5</v>
      </c>
      <c r="D134" s="3">
        <v>0.23</v>
      </c>
      <c r="E134" s="3">
        <f>(C134 - MIN(C:C)) / (MAX(C:C) - MIN(C:C))</f>
        <v>0.37194696441032798</v>
      </c>
      <c r="F134" s="3">
        <f>1 - ((D134 - MIN(D:D)) / (MAX(D:D) - MIN(D:D)))</f>
        <v>0.36681222707423566</v>
      </c>
      <c r="G134" s="3">
        <f>0.5 *E134+0.5*F134</f>
        <v>0.36937959574228185</v>
      </c>
      <c r="H134" s="4">
        <v>18</v>
      </c>
      <c r="I134" s="4">
        <v>9</v>
      </c>
      <c r="J134" s="5">
        <f>(I134/H134)</f>
        <v>0.5</v>
      </c>
      <c r="K134" s="2" t="s">
        <v>104</v>
      </c>
    </row>
    <row r="135" spans="1:11" x14ac:dyDescent="0.3">
      <c r="A135" s="2" t="s">
        <v>99</v>
      </c>
      <c r="B135" s="2" t="s">
        <v>6</v>
      </c>
      <c r="C135" s="3">
        <v>6.59</v>
      </c>
      <c r="D135" s="3">
        <v>0.19900000000000001</v>
      </c>
      <c r="E135" s="3">
        <f>(C135 - MIN(C:C)) / (MAX(C:C) - MIN(C:C))</f>
        <v>0.23866015352407535</v>
      </c>
      <c r="F135" s="3">
        <f>1 - ((D135 - MIN(D:D)) / (MAX(D:D) - MIN(D:D)))</f>
        <v>0.50218340611353707</v>
      </c>
      <c r="G135" s="3">
        <f>0.5 *E135+0.5*F135</f>
        <v>0.3704217798188062</v>
      </c>
      <c r="H135" s="4">
        <v>19</v>
      </c>
      <c r="I135" s="4">
        <v>11</v>
      </c>
      <c r="J135" s="5">
        <f>(I135/H135)</f>
        <v>0.57894736842105265</v>
      </c>
      <c r="K135" s="2" t="s">
        <v>107</v>
      </c>
    </row>
    <row r="136" spans="1:11" x14ac:dyDescent="0.3">
      <c r="A136" s="2" t="s">
        <v>97</v>
      </c>
      <c r="B136" s="2" t="s">
        <v>6</v>
      </c>
      <c r="C136" s="3">
        <v>8.5</v>
      </c>
      <c r="D136" s="3">
        <v>0.22800000000000001</v>
      </c>
      <c r="E136" s="3">
        <f>(C136 - MIN(C:C)) / (MAX(C:C) - MIN(C:C))</f>
        <v>0.37194696441032798</v>
      </c>
      <c r="F136" s="3">
        <f>1 - ((D136 - MIN(D:D)) / (MAX(D:D) - MIN(D:D)))</f>
        <v>0.37554585152838416</v>
      </c>
      <c r="G136" s="3">
        <f>0.5 *E136+0.5*F136</f>
        <v>0.3737464079693561</v>
      </c>
      <c r="H136" s="4">
        <v>18</v>
      </c>
      <c r="I136" s="4">
        <v>16</v>
      </c>
      <c r="J136" s="5">
        <f>(I136/H136)</f>
        <v>0.88888888888888884</v>
      </c>
      <c r="K136" s="2" t="s">
        <v>107</v>
      </c>
    </row>
    <row r="137" spans="1:11" x14ac:dyDescent="0.3">
      <c r="A137" s="2" t="s">
        <v>79</v>
      </c>
      <c r="B137" s="2" t="s">
        <v>6</v>
      </c>
      <c r="C137" s="3">
        <v>6</v>
      </c>
      <c r="D137" s="3">
        <v>0.188</v>
      </c>
      <c r="E137" s="3">
        <f>(C137 - MIN(C:C)) / (MAX(C:C) - MIN(C:C))</f>
        <v>0.19748778785764132</v>
      </c>
      <c r="F137" s="3">
        <f>1 - ((D137 - MIN(D:D)) / (MAX(D:D) - MIN(D:D)))</f>
        <v>0.55021834061135366</v>
      </c>
      <c r="G137" s="3">
        <f>0.5 *E137+0.5*F137</f>
        <v>0.37385306423449749</v>
      </c>
      <c r="H137" s="4">
        <v>18</v>
      </c>
      <c r="I137" s="4">
        <v>10</v>
      </c>
      <c r="J137" s="5">
        <f>(I137/H137)</f>
        <v>0.55555555555555558</v>
      </c>
      <c r="K137" s="2" t="s">
        <v>103</v>
      </c>
    </row>
    <row r="138" spans="1:11" x14ac:dyDescent="0.3">
      <c r="A138" s="2" t="s">
        <v>88</v>
      </c>
      <c r="B138" s="2" t="s">
        <v>63</v>
      </c>
      <c r="C138" s="3">
        <v>6.07</v>
      </c>
      <c r="D138" s="3">
        <v>0.189</v>
      </c>
      <c r="E138" s="3">
        <f>(C138 - MIN(C:C)) / (MAX(C:C) - MIN(C:C))</f>
        <v>0.20237264480111655</v>
      </c>
      <c r="F138" s="3">
        <f>1 - ((D138 - MIN(D:D)) / (MAX(D:D) - MIN(D:D)))</f>
        <v>0.54585152838427953</v>
      </c>
      <c r="G138" s="3">
        <f>0.5 *E138+0.5*F138</f>
        <v>0.37411208659269801</v>
      </c>
      <c r="H138" s="4">
        <v>14</v>
      </c>
      <c r="I138" s="4">
        <v>7</v>
      </c>
      <c r="J138" s="5">
        <f>(I138/H138)</f>
        <v>0.5</v>
      </c>
      <c r="K138" s="2" t="s">
        <v>109</v>
      </c>
    </row>
    <row r="139" spans="1:11" x14ac:dyDescent="0.3">
      <c r="A139" s="2" t="s">
        <v>83</v>
      </c>
      <c r="B139" s="2" t="s">
        <v>48</v>
      </c>
      <c r="C139" s="3">
        <v>6.79</v>
      </c>
      <c r="D139" s="3">
        <v>0.2</v>
      </c>
      <c r="E139" s="3">
        <f>(C139 - MIN(C:C)) / (MAX(C:C) - MIN(C:C))</f>
        <v>0.25261688764829032</v>
      </c>
      <c r="F139" s="3">
        <f>1 - ((D139 - MIN(D:D)) / (MAX(D:D) - MIN(D:D)))</f>
        <v>0.49781659388646282</v>
      </c>
      <c r="G139" s="3">
        <f>0.5 *E139+0.5*F139</f>
        <v>0.37521674076737654</v>
      </c>
      <c r="H139" s="4">
        <v>19</v>
      </c>
      <c r="I139" s="4">
        <v>14</v>
      </c>
      <c r="J139" s="5">
        <f>(I139/H139)</f>
        <v>0.73684210526315785</v>
      </c>
      <c r="K139" s="2" t="s">
        <v>105</v>
      </c>
    </row>
    <row r="140" spans="1:11" x14ac:dyDescent="0.3">
      <c r="A140" s="2" t="s">
        <v>77</v>
      </c>
      <c r="B140" s="2" t="s">
        <v>22</v>
      </c>
      <c r="C140" s="3">
        <v>7.5</v>
      </c>
      <c r="D140" s="3">
        <v>0.21099999999999999</v>
      </c>
      <c r="E140" s="3">
        <f>(C140 - MIN(C:C)) / (MAX(C:C) - MIN(C:C))</f>
        <v>0.30216329378925333</v>
      </c>
      <c r="F140" s="3">
        <f>1 - ((D140 - MIN(D:D)) / (MAX(D:D) - MIN(D:D)))</f>
        <v>0.44978165938864623</v>
      </c>
      <c r="G140" s="3">
        <f>0.5 *E140+0.5*F140</f>
        <v>0.37597247658894978</v>
      </c>
      <c r="H140" s="4">
        <v>18</v>
      </c>
      <c r="I140" s="4">
        <v>8</v>
      </c>
      <c r="J140" s="5">
        <f>(I140/H140)</f>
        <v>0.44444444444444442</v>
      </c>
      <c r="K140" s="2" t="s">
        <v>103</v>
      </c>
    </row>
    <row r="141" spans="1:11" x14ac:dyDescent="0.3">
      <c r="A141" s="2" t="s">
        <v>86</v>
      </c>
      <c r="B141" s="2" t="s">
        <v>13</v>
      </c>
      <c r="C141" s="3">
        <v>6.03</v>
      </c>
      <c r="D141" s="3">
        <v>0.187</v>
      </c>
      <c r="E141" s="3">
        <f>(C141 - MIN(C:C)) / (MAX(C:C) - MIN(C:C))</f>
        <v>0.19958129797627358</v>
      </c>
      <c r="F141" s="3">
        <f>1 - ((D141 - MIN(D:D)) / (MAX(D:D) - MIN(D:D)))</f>
        <v>0.55458515283842802</v>
      </c>
      <c r="G141" s="3">
        <f>0.5 *E141+0.5*F141</f>
        <v>0.37708322540735079</v>
      </c>
      <c r="H141" s="4">
        <v>19</v>
      </c>
      <c r="I141" s="4">
        <v>18</v>
      </c>
      <c r="J141" s="5">
        <f>(I141/H141)</f>
        <v>0.94736842105263153</v>
      </c>
      <c r="K141" s="2" t="s">
        <v>108</v>
      </c>
    </row>
    <row r="142" spans="1:11" x14ac:dyDescent="0.3">
      <c r="A142" s="2" t="s">
        <v>80</v>
      </c>
      <c r="B142" s="2" t="s">
        <v>6</v>
      </c>
      <c r="C142" s="3">
        <v>7.5</v>
      </c>
      <c r="D142" s="3">
        <v>0.21</v>
      </c>
      <c r="E142" s="3">
        <f>(C142 - MIN(C:C)) / (MAX(C:C) - MIN(C:C))</f>
        <v>0.30216329378925333</v>
      </c>
      <c r="F142" s="3">
        <f>1 - ((D142 - MIN(D:D)) / (MAX(D:D) - MIN(D:D)))</f>
        <v>0.45414847161572058</v>
      </c>
      <c r="G142" s="3">
        <f>0.5 *E142+0.5*F142</f>
        <v>0.37815588270248696</v>
      </c>
      <c r="H142" s="4">
        <v>19</v>
      </c>
      <c r="I142" s="4">
        <v>14</v>
      </c>
      <c r="J142" s="5">
        <f>(I142/H142)</f>
        <v>0.73684210526315785</v>
      </c>
      <c r="K142" s="2" t="s">
        <v>106</v>
      </c>
    </row>
    <row r="143" spans="1:11" x14ac:dyDescent="0.3">
      <c r="A143" s="2" t="s">
        <v>78</v>
      </c>
      <c r="B143" s="2" t="s">
        <v>60</v>
      </c>
      <c r="C143" s="3">
        <v>5.5</v>
      </c>
      <c r="D143" s="3">
        <v>0.17799999999999999</v>
      </c>
      <c r="E143" s="3">
        <f>(C143 - MIN(C:C)) / (MAX(C:C) - MIN(C:C))</f>
        <v>0.16259595254710399</v>
      </c>
      <c r="F143" s="3">
        <f>1 - ((D143 - MIN(D:D)) / (MAX(D:D) - MIN(D:D)))</f>
        <v>0.59388646288209612</v>
      </c>
      <c r="G143" s="3">
        <f>0.5 *E143+0.5*F143</f>
        <v>0.37824120771460007</v>
      </c>
      <c r="H143" s="4">
        <v>11</v>
      </c>
      <c r="I143" s="4">
        <v>7</v>
      </c>
      <c r="J143" s="5">
        <f>(I143/H143)</f>
        <v>0.63636363636363635</v>
      </c>
      <c r="K143" s="2" t="s">
        <v>103</v>
      </c>
    </row>
    <row r="144" spans="1:11" x14ac:dyDescent="0.3">
      <c r="A144" s="2" t="s">
        <v>77</v>
      </c>
      <c r="B144" s="2" t="s">
        <v>41</v>
      </c>
      <c r="C144" s="3">
        <v>5.83</v>
      </c>
      <c r="D144" s="3">
        <v>0.183</v>
      </c>
      <c r="E144" s="3">
        <f>(C144 - MIN(C:C)) / (MAX(C:C) - MIN(C:C))</f>
        <v>0.18562456385205864</v>
      </c>
      <c r="F144" s="3">
        <f>1 - ((D144 - MIN(D:D)) / (MAX(D:D) - MIN(D:D)))</f>
        <v>0.57205240174672489</v>
      </c>
      <c r="G144" s="3">
        <f>0.5 *E144+0.5*F144</f>
        <v>0.37883848279939175</v>
      </c>
      <c r="H144" s="4">
        <v>10</v>
      </c>
      <c r="I144" s="4">
        <v>6</v>
      </c>
      <c r="J144" s="5">
        <f>(I144/H144)</f>
        <v>0.6</v>
      </c>
      <c r="K144" s="2" t="s">
        <v>103</v>
      </c>
    </row>
    <row r="145" spans="1:11" x14ac:dyDescent="0.3">
      <c r="A145" s="2" t="s">
        <v>97</v>
      </c>
      <c r="B145" s="2" t="s">
        <v>17</v>
      </c>
      <c r="C145" s="3">
        <v>5.83</v>
      </c>
      <c r="D145" s="3">
        <v>0.183</v>
      </c>
      <c r="E145" s="3">
        <f>(C145 - MIN(C:C)) / (MAX(C:C) - MIN(C:C))</f>
        <v>0.18562456385205864</v>
      </c>
      <c r="F145" s="3">
        <f>1 - ((D145 - MIN(D:D)) / (MAX(D:D) - MIN(D:D)))</f>
        <v>0.57205240174672489</v>
      </c>
      <c r="G145" s="3">
        <f>0.5 *E145+0.5*F145</f>
        <v>0.37883848279939175</v>
      </c>
      <c r="H145" s="4">
        <v>12</v>
      </c>
      <c r="I145" s="4">
        <v>10</v>
      </c>
      <c r="J145" s="5">
        <f>(I145/H145)</f>
        <v>0.83333333333333337</v>
      </c>
      <c r="K145" s="2" t="s">
        <v>107</v>
      </c>
    </row>
    <row r="146" spans="1:11" x14ac:dyDescent="0.3">
      <c r="A146" s="2" t="s">
        <v>99</v>
      </c>
      <c r="B146" s="2" t="s">
        <v>17</v>
      </c>
      <c r="C146" s="3">
        <v>5.83</v>
      </c>
      <c r="D146" s="3">
        <v>0.183</v>
      </c>
      <c r="E146" s="3">
        <f>(C146 - MIN(C:C)) / (MAX(C:C) - MIN(C:C))</f>
        <v>0.18562456385205864</v>
      </c>
      <c r="F146" s="3">
        <f>1 - ((D146 - MIN(D:D)) / (MAX(D:D) - MIN(D:D)))</f>
        <v>0.57205240174672489</v>
      </c>
      <c r="G146" s="3">
        <f>0.5 *E146+0.5*F146</f>
        <v>0.37883848279939175</v>
      </c>
      <c r="H146" s="4">
        <v>10</v>
      </c>
      <c r="I146" s="4">
        <v>6</v>
      </c>
      <c r="J146" s="5">
        <f>(I146/H146)</f>
        <v>0.6</v>
      </c>
      <c r="K146" s="2" t="s">
        <v>107</v>
      </c>
    </row>
    <row r="147" spans="1:11" x14ac:dyDescent="0.3">
      <c r="A147" s="2" t="s">
        <v>86</v>
      </c>
      <c r="B147" s="2" t="s">
        <v>29</v>
      </c>
      <c r="C147" s="3">
        <v>8.1</v>
      </c>
      <c r="D147" s="3">
        <v>0.219</v>
      </c>
      <c r="E147" s="3">
        <f>(C147 - MIN(C:C)) / (MAX(C:C) - MIN(C:C))</f>
        <v>0.3440334961618981</v>
      </c>
      <c r="F147" s="3">
        <f>1 - ((D147 - MIN(D:D)) / (MAX(D:D) - MIN(D:D)))</f>
        <v>0.41484716157205237</v>
      </c>
      <c r="G147" s="3">
        <f>0.5 *E147+0.5*F147</f>
        <v>0.37944032886697521</v>
      </c>
      <c r="H147" s="4">
        <v>15</v>
      </c>
      <c r="I147" s="4">
        <v>7</v>
      </c>
      <c r="J147" s="5">
        <f>(I147/H147)</f>
        <v>0.46666666666666667</v>
      </c>
      <c r="K147" s="2" t="s">
        <v>108</v>
      </c>
    </row>
    <row r="148" spans="1:11" x14ac:dyDescent="0.3">
      <c r="A148" s="2" t="s">
        <v>80</v>
      </c>
      <c r="B148" s="2" t="s">
        <v>7</v>
      </c>
      <c r="C148" s="3">
        <v>8.06</v>
      </c>
      <c r="D148" s="3">
        <v>0.218</v>
      </c>
      <c r="E148" s="3">
        <f>(C148 - MIN(C:C)) / (MAX(C:C) - MIN(C:C))</f>
        <v>0.34124214933705516</v>
      </c>
      <c r="F148" s="3">
        <f>1 - ((D148 - MIN(D:D)) / (MAX(D:D) - MIN(D:D)))</f>
        <v>0.4192139737991265</v>
      </c>
      <c r="G148" s="3">
        <f>0.5 *E148+0.5*F148</f>
        <v>0.38022806156809086</v>
      </c>
      <c r="H148" s="4">
        <v>16</v>
      </c>
      <c r="I148" s="4">
        <v>9</v>
      </c>
      <c r="J148" s="5">
        <f>(I148/H148)</f>
        <v>0.5625</v>
      </c>
      <c r="K148" s="2" t="s">
        <v>106</v>
      </c>
    </row>
    <row r="149" spans="1:11" x14ac:dyDescent="0.3">
      <c r="A149" s="2" t="s">
        <v>91</v>
      </c>
      <c r="B149" s="2" t="s">
        <v>6</v>
      </c>
      <c r="C149" s="3">
        <v>5.58</v>
      </c>
      <c r="D149" s="3">
        <v>0.17799999999999999</v>
      </c>
      <c r="E149" s="3">
        <f>(C149 - MIN(C:C)) / (MAX(C:C) - MIN(C:C))</f>
        <v>0.16817864619678996</v>
      </c>
      <c r="F149" s="3">
        <f>1 - ((D149 - MIN(D:D)) / (MAX(D:D) - MIN(D:D)))</f>
        <v>0.59388646288209612</v>
      </c>
      <c r="G149" s="3">
        <f>0.5 *E149+0.5*F149</f>
        <v>0.38103255453944307</v>
      </c>
      <c r="H149" s="4">
        <v>19</v>
      </c>
      <c r="I149" s="4">
        <v>13</v>
      </c>
      <c r="J149" s="5">
        <f>(I149/H149)</f>
        <v>0.68421052631578949</v>
      </c>
      <c r="K149" s="2" t="s">
        <v>104</v>
      </c>
    </row>
    <row r="150" spans="1:11" x14ac:dyDescent="0.3">
      <c r="A150" s="2" t="s">
        <v>86</v>
      </c>
      <c r="B150" s="2" t="s">
        <v>6</v>
      </c>
      <c r="C150" s="3">
        <v>8.2200000000000006</v>
      </c>
      <c r="D150" s="3">
        <v>0.22</v>
      </c>
      <c r="E150" s="3">
        <f>(C150 - MIN(C:C)) / (MAX(C:C) - MIN(C:C))</f>
        <v>0.3524075366364271</v>
      </c>
      <c r="F150" s="3">
        <f>1 - ((D150 - MIN(D:D)) / (MAX(D:D) - MIN(D:D)))</f>
        <v>0.41048034934497812</v>
      </c>
      <c r="G150" s="3">
        <f>0.5 *E150+0.5*F150</f>
        <v>0.38144394299070261</v>
      </c>
      <c r="H150" s="4">
        <v>19</v>
      </c>
      <c r="I150" s="4">
        <v>12</v>
      </c>
      <c r="J150" s="5">
        <f>(I150/H150)</f>
        <v>0.63157894736842102</v>
      </c>
      <c r="K150" s="2" t="s">
        <v>108</v>
      </c>
    </row>
    <row r="151" spans="1:11" x14ac:dyDescent="0.3">
      <c r="A151" s="2" t="s">
        <v>91</v>
      </c>
      <c r="B151" s="2" t="s">
        <v>6</v>
      </c>
      <c r="C151" s="3">
        <v>6.67</v>
      </c>
      <c r="D151" s="3">
        <v>0.19500000000000001</v>
      </c>
      <c r="E151" s="3">
        <f>(C151 - MIN(C:C)) / (MAX(C:C) - MIN(C:C))</f>
        <v>0.24424284717376135</v>
      </c>
      <c r="F151" s="3">
        <f>1 - ((D151 - MIN(D:D)) / (MAX(D:D) - MIN(D:D)))</f>
        <v>0.51965065502183405</v>
      </c>
      <c r="G151" s="3">
        <f>0.5 *E151+0.5*F151</f>
        <v>0.38194675109779769</v>
      </c>
      <c r="H151" s="4">
        <v>16</v>
      </c>
      <c r="I151" s="4">
        <v>7</v>
      </c>
      <c r="J151" s="5">
        <f>(I151/H151)</f>
        <v>0.4375</v>
      </c>
      <c r="K151" s="2" t="s">
        <v>104</v>
      </c>
    </row>
    <row r="152" spans="1:11" x14ac:dyDescent="0.3">
      <c r="A152" s="2" t="s">
        <v>94</v>
      </c>
      <c r="B152" s="2" t="s">
        <v>52</v>
      </c>
      <c r="C152" s="3">
        <v>6.14</v>
      </c>
      <c r="D152" s="3">
        <v>0.186</v>
      </c>
      <c r="E152" s="3">
        <f>(C152 - MIN(C:C)) / (MAX(C:C) - MIN(C:C))</f>
        <v>0.20725750174459176</v>
      </c>
      <c r="F152" s="3">
        <f>1 - ((D152 - MIN(D:D)) / (MAX(D:D) - MIN(D:D)))</f>
        <v>0.55895196506550215</v>
      </c>
      <c r="G152" s="3">
        <f>0.5 *E152+0.5*F152</f>
        <v>0.38310473340504697</v>
      </c>
      <c r="H152" s="4">
        <v>18</v>
      </c>
      <c r="I152" s="4">
        <v>11</v>
      </c>
      <c r="J152" s="5">
        <f>(I152/H152)</f>
        <v>0.61111111111111116</v>
      </c>
      <c r="K152" s="2" t="s">
        <v>110</v>
      </c>
    </row>
    <row r="153" spans="1:11" x14ac:dyDescent="0.3">
      <c r="A153" s="2" t="s">
        <v>88</v>
      </c>
      <c r="B153" s="2" t="s">
        <v>30</v>
      </c>
      <c r="C153" s="3">
        <v>5</v>
      </c>
      <c r="D153" s="3">
        <v>0.16700000000000001</v>
      </c>
      <c r="E153" s="3">
        <f>(C153 - MIN(C:C)) / (MAX(C:C) - MIN(C:C))</f>
        <v>0.12770411723656666</v>
      </c>
      <c r="F153" s="3">
        <f>1 - ((D153 - MIN(D:D)) / (MAX(D:D) - MIN(D:D)))</f>
        <v>0.64192139737991261</v>
      </c>
      <c r="G153" s="3">
        <f>0.5 *E153+0.5*F153</f>
        <v>0.38481275730823961</v>
      </c>
      <c r="H153" s="4">
        <v>18</v>
      </c>
      <c r="I153" s="4">
        <v>10</v>
      </c>
      <c r="J153" s="5">
        <f>(I153/H153)</f>
        <v>0.55555555555555558</v>
      </c>
      <c r="K153" s="2" t="s">
        <v>109</v>
      </c>
    </row>
    <row r="154" spans="1:11" x14ac:dyDescent="0.3">
      <c r="A154" s="2" t="s">
        <v>97</v>
      </c>
      <c r="B154" s="2" t="s">
        <v>28</v>
      </c>
      <c r="C154" s="3">
        <v>7.14</v>
      </c>
      <c r="D154" s="3">
        <v>0.2</v>
      </c>
      <c r="E154" s="3">
        <f>(C154 - MIN(C:C)) / (MAX(C:C) - MIN(C:C))</f>
        <v>0.27704117236566639</v>
      </c>
      <c r="F154" s="3">
        <f>1 - ((D154 - MIN(D:D)) / (MAX(D:D) - MIN(D:D)))</f>
        <v>0.49781659388646282</v>
      </c>
      <c r="G154" s="3">
        <f>0.5 *E154+0.5*F154</f>
        <v>0.3874288831260646</v>
      </c>
      <c r="H154" s="4">
        <v>19</v>
      </c>
      <c r="I154" s="4">
        <v>14</v>
      </c>
      <c r="J154" s="5">
        <f>(I154/H154)</f>
        <v>0.73684210526315785</v>
      </c>
      <c r="K154" s="2" t="s">
        <v>107</v>
      </c>
    </row>
    <row r="155" spans="1:11" x14ac:dyDescent="0.3">
      <c r="A155" s="2" t="s">
        <v>78</v>
      </c>
      <c r="B155" s="2" t="s">
        <v>6</v>
      </c>
      <c r="C155" s="3">
        <v>6.39</v>
      </c>
      <c r="D155" s="3">
        <v>0.187</v>
      </c>
      <c r="E155" s="3">
        <f>(C155 - MIN(C:C)) / (MAX(C:C) - MIN(C:C))</f>
        <v>0.22470341939986041</v>
      </c>
      <c r="F155" s="3">
        <f>1 - ((D155 - MIN(D:D)) / (MAX(D:D) - MIN(D:D)))</f>
        <v>0.55458515283842802</v>
      </c>
      <c r="G155" s="3">
        <f>0.5 *E155+0.5*F155</f>
        <v>0.3896442861191442</v>
      </c>
      <c r="H155" s="4">
        <v>17</v>
      </c>
      <c r="I155" s="4">
        <v>9</v>
      </c>
      <c r="J155" s="5">
        <f>(I155/H155)</f>
        <v>0.52941176470588236</v>
      </c>
      <c r="K155" s="2" t="s">
        <v>103</v>
      </c>
    </row>
    <row r="156" spans="1:11" x14ac:dyDescent="0.3">
      <c r="A156" s="2" t="s">
        <v>86</v>
      </c>
      <c r="B156" s="2" t="s">
        <v>11</v>
      </c>
      <c r="C156" s="3">
        <v>6.33</v>
      </c>
      <c r="D156" s="3">
        <v>0.185</v>
      </c>
      <c r="E156" s="3">
        <f>(C156 - MIN(C:C)) / (MAX(C:C) - MIN(C:C))</f>
        <v>0.22051639916259597</v>
      </c>
      <c r="F156" s="3">
        <f>1 - ((D156 - MIN(D:D)) / (MAX(D:D) - MIN(D:D)))</f>
        <v>0.5633187772925764</v>
      </c>
      <c r="G156" s="3">
        <f>0.5 *E156+0.5*F156</f>
        <v>0.39191758822758616</v>
      </c>
      <c r="H156" s="4">
        <v>19</v>
      </c>
      <c r="I156" s="4">
        <v>18</v>
      </c>
      <c r="J156" s="5">
        <f>(I156/H156)</f>
        <v>0.94736842105263153</v>
      </c>
      <c r="K156" s="2" t="s">
        <v>108</v>
      </c>
    </row>
    <row r="157" spans="1:11" x14ac:dyDescent="0.3">
      <c r="A157" s="2" t="s">
        <v>78</v>
      </c>
      <c r="B157" s="2" t="s">
        <v>33</v>
      </c>
      <c r="C157" s="3">
        <v>3.93</v>
      </c>
      <c r="D157" s="3">
        <v>0.14599999999999999</v>
      </c>
      <c r="E157" s="3">
        <f>(C157 - MIN(C:C)) / (MAX(C:C) - MIN(C:C))</f>
        <v>5.3035589672016763E-2</v>
      </c>
      <c r="F157" s="3">
        <f>1 - ((D157 - MIN(D:D)) / (MAX(D:D) - MIN(D:D)))</f>
        <v>0.73362445414847166</v>
      </c>
      <c r="G157" s="3">
        <f>0.5 *E157+0.5*F157</f>
        <v>0.39333002191024419</v>
      </c>
      <c r="H157" s="4">
        <v>19</v>
      </c>
      <c r="I157" s="4">
        <v>14</v>
      </c>
      <c r="J157" s="5">
        <f>(I157/H157)</f>
        <v>0.73684210526315785</v>
      </c>
      <c r="K157" s="2" t="s">
        <v>103</v>
      </c>
    </row>
    <row r="158" spans="1:11" x14ac:dyDescent="0.3">
      <c r="A158" s="2" t="s">
        <v>96</v>
      </c>
      <c r="B158" s="2" t="s">
        <v>19</v>
      </c>
      <c r="C158" s="3">
        <v>5.5</v>
      </c>
      <c r="D158" s="3">
        <v>0.17100000000000001</v>
      </c>
      <c r="E158" s="3">
        <f>(C158 - MIN(C:C)) / (MAX(C:C) - MIN(C:C))</f>
        <v>0.16259595254710399</v>
      </c>
      <c r="F158" s="3">
        <f>1 - ((D158 - MIN(D:D)) / (MAX(D:D) - MIN(D:D)))</f>
        <v>0.62445414847161573</v>
      </c>
      <c r="G158" s="3">
        <f>0.5 *E158+0.5*F158</f>
        <v>0.39352505050935987</v>
      </c>
      <c r="H158" s="4">
        <v>9</v>
      </c>
      <c r="I158" s="4">
        <v>5</v>
      </c>
      <c r="J158" s="5">
        <f>(I158/H158)</f>
        <v>0.55555555555555558</v>
      </c>
      <c r="K158" s="2" t="s">
        <v>110</v>
      </c>
    </row>
    <row r="159" spans="1:11" x14ac:dyDescent="0.3">
      <c r="A159" s="2" t="s">
        <v>86</v>
      </c>
      <c r="B159" s="2" t="s">
        <v>62</v>
      </c>
      <c r="C159" s="3">
        <v>7.21</v>
      </c>
      <c r="D159" s="3">
        <v>0.19800000000000001</v>
      </c>
      <c r="E159" s="3">
        <f>(C159 - MIN(C:C)) / (MAX(C:C) - MIN(C:C))</f>
        <v>0.28192602930914168</v>
      </c>
      <c r="F159" s="3">
        <f>1 - ((D159 - MIN(D:D)) / (MAX(D:D) - MIN(D:D)))</f>
        <v>0.50655021834061131</v>
      </c>
      <c r="G159" s="3">
        <f>0.5 *E159+0.5*F159</f>
        <v>0.3942381238248765</v>
      </c>
      <c r="H159" s="4">
        <v>13</v>
      </c>
      <c r="I159" s="4">
        <v>7</v>
      </c>
      <c r="J159" s="5">
        <f>(I159/H159)</f>
        <v>0.53846153846153844</v>
      </c>
      <c r="K159" s="2" t="s">
        <v>108</v>
      </c>
    </row>
    <row r="160" spans="1:11" x14ac:dyDescent="0.3">
      <c r="A160" s="2" t="s">
        <v>79</v>
      </c>
      <c r="B160" s="2" t="s">
        <v>6</v>
      </c>
      <c r="C160" s="3">
        <v>3.21</v>
      </c>
      <c r="D160" s="3">
        <v>0.13400000000000001</v>
      </c>
      <c r="E160" s="3">
        <f>(C160 - MIN(C:C)) / (MAX(C:C) - MIN(C:C))</f>
        <v>2.7913468248429892E-3</v>
      </c>
      <c r="F160" s="3">
        <f>1 - ((D160 - MIN(D:D)) / (MAX(D:D) - MIN(D:D)))</f>
        <v>0.78602620087336239</v>
      </c>
      <c r="G160" s="3">
        <f>0.5 *E160+0.5*F160</f>
        <v>0.39440877384910267</v>
      </c>
      <c r="H160" s="4">
        <v>18</v>
      </c>
      <c r="I160" s="4">
        <v>7</v>
      </c>
      <c r="J160" s="5">
        <f>(I160/H160)</f>
        <v>0.3888888888888889</v>
      </c>
      <c r="K160" s="2" t="s">
        <v>103</v>
      </c>
    </row>
    <row r="161" spans="1:11" x14ac:dyDescent="0.3">
      <c r="A161" s="2" t="s">
        <v>81</v>
      </c>
      <c r="B161" s="2" t="s">
        <v>6</v>
      </c>
      <c r="C161" s="3">
        <v>4.17</v>
      </c>
      <c r="D161" s="3">
        <v>0.14799999999999999</v>
      </c>
      <c r="E161" s="3">
        <f>(C161 - MIN(C:C)) / (MAX(C:C) - MIN(C:C))</f>
        <v>6.978367062107467E-2</v>
      </c>
      <c r="F161" s="3">
        <f>1 - ((D161 - MIN(D:D)) / (MAX(D:D) - MIN(D:D)))</f>
        <v>0.72489082969432317</v>
      </c>
      <c r="G161" s="3">
        <f>0.5 *E161+0.5*F161</f>
        <v>0.39733725015769894</v>
      </c>
      <c r="H161" s="4">
        <v>13</v>
      </c>
      <c r="I161" s="4">
        <v>6</v>
      </c>
      <c r="J161" s="5">
        <f>(I161/H161)</f>
        <v>0.46153846153846156</v>
      </c>
      <c r="K161" s="2" t="s">
        <v>106</v>
      </c>
    </row>
    <row r="162" spans="1:11" x14ac:dyDescent="0.3">
      <c r="A162" s="2" t="s">
        <v>84</v>
      </c>
      <c r="B162" s="2" t="s">
        <v>17</v>
      </c>
      <c r="C162" s="3">
        <v>6.25</v>
      </c>
      <c r="D162" s="3">
        <v>0.18</v>
      </c>
      <c r="E162" s="3">
        <f>(C162 - MIN(C:C)) / (MAX(C:C) - MIN(C:C))</f>
        <v>0.21493370551290999</v>
      </c>
      <c r="F162" s="3">
        <f>1 - ((D162 - MIN(D:D)) / (MAX(D:D) - MIN(D:D)))</f>
        <v>0.58515283842794763</v>
      </c>
      <c r="G162" s="3">
        <f>0.5 *E162+0.5*F162</f>
        <v>0.40004327197042883</v>
      </c>
      <c r="H162" s="4">
        <v>14</v>
      </c>
      <c r="I162" s="4">
        <v>8</v>
      </c>
      <c r="J162" s="5">
        <f>(I162/H162)</f>
        <v>0.5714285714285714</v>
      </c>
      <c r="K162" s="2" t="s">
        <v>105</v>
      </c>
    </row>
    <row r="163" spans="1:11" x14ac:dyDescent="0.3">
      <c r="A163" s="2" t="s">
        <v>85</v>
      </c>
      <c r="B163" s="2" t="s">
        <v>6</v>
      </c>
      <c r="C163" s="3">
        <v>8.41</v>
      </c>
      <c r="D163" s="3">
        <v>0.214</v>
      </c>
      <c r="E163" s="3">
        <f>(C163 - MIN(C:C)) / (MAX(C:C) - MIN(C:C))</f>
        <v>0.36566643405443128</v>
      </c>
      <c r="F163" s="3">
        <f>1 - ((D163 - MIN(D:D)) / (MAX(D:D) - MIN(D:D)))</f>
        <v>0.43668122270742349</v>
      </c>
      <c r="G163" s="3">
        <f>0.5 *E163+0.5*F163</f>
        <v>0.40117382838092741</v>
      </c>
      <c r="H163" s="4">
        <v>18</v>
      </c>
      <c r="I163" s="4">
        <v>14</v>
      </c>
      <c r="J163" s="5">
        <f>(I163/H163)</f>
        <v>0.77777777777777779</v>
      </c>
      <c r="K163" s="2" t="s">
        <v>108</v>
      </c>
    </row>
    <row r="164" spans="1:11" x14ac:dyDescent="0.3">
      <c r="A164" s="2" t="s">
        <v>87</v>
      </c>
      <c r="B164" s="2" t="s">
        <v>6</v>
      </c>
      <c r="C164" s="3">
        <v>6.62</v>
      </c>
      <c r="D164" s="3">
        <v>0.185</v>
      </c>
      <c r="E164" s="3">
        <f>(C164 - MIN(C:C)) / (MAX(C:C) - MIN(C:C))</f>
        <v>0.24075366364270762</v>
      </c>
      <c r="F164" s="3">
        <f>1 - ((D164 - MIN(D:D)) / (MAX(D:D) - MIN(D:D)))</f>
        <v>0.5633187772925764</v>
      </c>
      <c r="G164" s="3">
        <f>0.5 *E164+0.5*F164</f>
        <v>0.40203622046764198</v>
      </c>
      <c r="H164" s="4">
        <v>18</v>
      </c>
      <c r="I164" s="4">
        <v>17</v>
      </c>
      <c r="J164" s="5">
        <f>(I164/H164)</f>
        <v>0.94444444444444442</v>
      </c>
      <c r="K164" s="2" t="s">
        <v>108</v>
      </c>
    </row>
    <row r="165" spans="1:11" x14ac:dyDescent="0.3">
      <c r="A165" s="2" t="s">
        <v>87</v>
      </c>
      <c r="B165" s="2" t="s">
        <v>37</v>
      </c>
      <c r="C165" s="3">
        <v>7.75</v>
      </c>
      <c r="D165" s="3">
        <v>0.20300000000000001</v>
      </c>
      <c r="E165" s="3">
        <f>(C165 - MIN(C:C)) / (MAX(C:C) - MIN(C:C))</f>
        <v>0.31960921144452198</v>
      </c>
      <c r="F165" s="3">
        <f>1 - ((D165 - MIN(D:D)) / (MAX(D:D) - MIN(D:D)))</f>
        <v>0.48471615720524008</v>
      </c>
      <c r="G165" s="3">
        <f>0.5 *E165+0.5*F165</f>
        <v>0.402162684324881</v>
      </c>
      <c r="H165" s="4">
        <v>17</v>
      </c>
      <c r="I165" s="4">
        <v>8</v>
      </c>
      <c r="J165" s="5">
        <f>(I165/H165)</f>
        <v>0.47058823529411764</v>
      </c>
      <c r="K165" s="2" t="s">
        <v>108</v>
      </c>
    </row>
    <row r="166" spans="1:11" x14ac:dyDescent="0.3">
      <c r="A166" s="2" t="s">
        <v>91</v>
      </c>
      <c r="B166" s="2" t="s">
        <v>31</v>
      </c>
      <c r="C166" s="3">
        <v>5</v>
      </c>
      <c r="D166" s="3">
        <v>0.159</v>
      </c>
      <c r="E166" s="3">
        <f>(C166 - MIN(C:C)) / (MAX(C:C) - MIN(C:C))</f>
        <v>0.12770411723656666</v>
      </c>
      <c r="F166" s="3">
        <f>1 - ((D166 - MIN(D:D)) / (MAX(D:D) - MIN(D:D)))</f>
        <v>0.67685589519650646</v>
      </c>
      <c r="G166" s="3">
        <f>0.5 *E166+0.5*F166</f>
        <v>0.40228000621653659</v>
      </c>
      <c r="H166" s="4">
        <v>17</v>
      </c>
      <c r="I166" s="4">
        <v>8</v>
      </c>
      <c r="J166" s="5">
        <f>(I166/H166)</f>
        <v>0.47058823529411764</v>
      </c>
      <c r="K166" s="2" t="s">
        <v>104</v>
      </c>
    </row>
    <row r="167" spans="1:11" x14ac:dyDescent="0.3">
      <c r="A167" s="2" t="s">
        <v>92</v>
      </c>
      <c r="B167" s="2" t="s">
        <v>56</v>
      </c>
      <c r="C167" s="3">
        <v>8.5</v>
      </c>
      <c r="D167" s="3">
        <v>0.214</v>
      </c>
      <c r="E167" s="3">
        <f>(C167 - MIN(C:C)) / (MAX(C:C) - MIN(C:C))</f>
        <v>0.37194696441032798</v>
      </c>
      <c r="F167" s="3">
        <f>1 - ((D167 - MIN(D:D)) / (MAX(D:D) - MIN(D:D)))</f>
        <v>0.43668122270742349</v>
      </c>
      <c r="G167" s="3">
        <f>0.5 *E167+0.5*F167</f>
        <v>0.40431409355887571</v>
      </c>
      <c r="H167" s="4">
        <v>10</v>
      </c>
      <c r="I167" s="4">
        <v>8</v>
      </c>
      <c r="J167" s="5">
        <f>(I167/H167)</f>
        <v>0.8</v>
      </c>
      <c r="K167" s="2" t="s">
        <v>104</v>
      </c>
    </row>
    <row r="168" spans="1:11" x14ac:dyDescent="0.3">
      <c r="A168" s="2" t="s">
        <v>84</v>
      </c>
      <c r="B168" s="2" t="s">
        <v>30</v>
      </c>
      <c r="C168" s="3">
        <v>7.5</v>
      </c>
      <c r="D168" s="3">
        <v>0.19800000000000001</v>
      </c>
      <c r="E168" s="3">
        <f>(C168 - MIN(C:C)) / (MAX(C:C) - MIN(C:C))</f>
        <v>0.30216329378925333</v>
      </c>
      <c r="F168" s="3">
        <f>1 - ((D168 - MIN(D:D)) / (MAX(D:D) - MIN(D:D)))</f>
        <v>0.50655021834061131</v>
      </c>
      <c r="G168" s="3">
        <f>0.5 *E168+0.5*F168</f>
        <v>0.40435675606493232</v>
      </c>
      <c r="H168" s="4">
        <v>19</v>
      </c>
      <c r="I168" s="4">
        <v>4</v>
      </c>
      <c r="J168" s="5">
        <f>(I168/H168)</f>
        <v>0.21052631578947367</v>
      </c>
      <c r="K168" s="2" t="s">
        <v>105</v>
      </c>
    </row>
    <row r="169" spans="1:11" x14ac:dyDescent="0.3">
      <c r="A169" s="2" t="s">
        <v>94</v>
      </c>
      <c r="B169" s="2" t="s">
        <v>11</v>
      </c>
      <c r="C169" s="3">
        <v>5.42</v>
      </c>
      <c r="D169" s="3">
        <v>0.16400000000000001</v>
      </c>
      <c r="E169" s="3">
        <f>(C169 - MIN(C:C)) / (MAX(C:C) - MIN(C:C))</f>
        <v>0.15701325889741799</v>
      </c>
      <c r="F169" s="3">
        <f>1 - ((D169 - MIN(D:D)) / (MAX(D:D) - MIN(D:D)))</f>
        <v>0.65502183406113534</v>
      </c>
      <c r="G169" s="3">
        <f>0.5 *E169+0.5*F169</f>
        <v>0.40601754647927668</v>
      </c>
      <c r="H169" s="4">
        <v>19</v>
      </c>
      <c r="I169" s="4">
        <v>13</v>
      </c>
      <c r="J169" s="5">
        <f>(I169/H169)</f>
        <v>0.68421052631578949</v>
      </c>
      <c r="K169" s="2" t="s">
        <v>110</v>
      </c>
    </row>
    <row r="170" spans="1:11" x14ac:dyDescent="0.3">
      <c r="A170" s="2" t="s">
        <v>77</v>
      </c>
      <c r="B170" s="2" t="s">
        <v>6</v>
      </c>
      <c r="C170" s="3">
        <v>7.5</v>
      </c>
      <c r="D170" s="3">
        <v>0.19700000000000001</v>
      </c>
      <c r="E170" s="3">
        <f>(C170 - MIN(C:C)) / (MAX(C:C) - MIN(C:C))</f>
        <v>0.30216329378925333</v>
      </c>
      <c r="F170" s="3">
        <f>1 - ((D170 - MIN(D:D)) / (MAX(D:D) - MIN(D:D)))</f>
        <v>0.51091703056768556</v>
      </c>
      <c r="G170" s="3">
        <f>0.5 *E170+0.5*F170</f>
        <v>0.40654016217846944</v>
      </c>
      <c r="H170" s="4">
        <v>18</v>
      </c>
      <c r="I170" s="4">
        <v>11</v>
      </c>
      <c r="J170" s="5">
        <f>(I170/H170)</f>
        <v>0.61111111111111116</v>
      </c>
      <c r="K170" s="2" t="s">
        <v>103</v>
      </c>
    </row>
    <row r="171" spans="1:11" x14ac:dyDescent="0.3">
      <c r="A171" s="2" t="s">
        <v>86</v>
      </c>
      <c r="B171" s="2" t="s">
        <v>6</v>
      </c>
      <c r="C171" s="3">
        <v>7</v>
      </c>
      <c r="D171" s="3">
        <v>0.188</v>
      </c>
      <c r="E171" s="3">
        <f>(C171 - MIN(C:C)) / (MAX(C:C) - MIN(C:C))</f>
        <v>0.26727145847871597</v>
      </c>
      <c r="F171" s="3">
        <f>1 - ((D171 - MIN(D:D)) / (MAX(D:D) - MIN(D:D)))</f>
        <v>0.55021834061135366</v>
      </c>
      <c r="G171" s="3">
        <f>0.5 *E171+0.5*F171</f>
        <v>0.40874489954503479</v>
      </c>
      <c r="H171" s="4">
        <v>19</v>
      </c>
      <c r="I171" s="4">
        <v>7</v>
      </c>
      <c r="J171" s="5">
        <f>(I171/H171)</f>
        <v>0.36842105263157893</v>
      </c>
      <c r="K171" s="2" t="s">
        <v>108</v>
      </c>
    </row>
    <row r="172" spans="1:11" x14ac:dyDescent="0.3">
      <c r="A172" s="2" t="s">
        <v>85</v>
      </c>
      <c r="B172" s="2" t="s">
        <v>6</v>
      </c>
      <c r="C172" s="3">
        <v>8.73</v>
      </c>
      <c r="D172" s="3">
        <v>0.215</v>
      </c>
      <c r="E172" s="3">
        <f>(C172 - MIN(C:C)) / (MAX(C:C) - MIN(C:C))</f>
        <v>0.38799720865317516</v>
      </c>
      <c r="F172" s="3">
        <f>1 - ((D172 - MIN(D:D)) / (MAX(D:D) - MIN(D:D)))</f>
        <v>0.43231441048034924</v>
      </c>
      <c r="G172" s="3">
        <f>0.5 *E172+0.5*F172</f>
        <v>0.41015580956676223</v>
      </c>
      <c r="H172" s="4">
        <v>19</v>
      </c>
      <c r="I172" s="4">
        <v>15</v>
      </c>
      <c r="J172" s="5">
        <f>(I172/H172)</f>
        <v>0.78947368421052633</v>
      </c>
      <c r="K172" s="2" t="s">
        <v>108</v>
      </c>
    </row>
    <row r="173" spans="1:11" x14ac:dyDescent="0.3">
      <c r="A173" s="2" t="s">
        <v>93</v>
      </c>
      <c r="B173" s="2" t="s">
        <v>6</v>
      </c>
      <c r="C173" s="3">
        <v>5.68</v>
      </c>
      <c r="D173" s="3">
        <v>0.16600000000000001</v>
      </c>
      <c r="E173" s="3">
        <f>(C173 - MIN(C:C)) / (MAX(C:C) - MIN(C:C))</f>
        <v>0.1751570132588974</v>
      </c>
      <c r="F173" s="3">
        <f>1 - ((D173 - MIN(D:D)) / (MAX(D:D) - MIN(D:D)))</f>
        <v>0.64628820960698685</v>
      </c>
      <c r="G173" s="3">
        <f>0.5 *E173+0.5*F173</f>
        <v>0.41072261143294214</v>
      </c>
      <c r="H173" s="4">
        <v>17</v>
      </c>
      <c r="I173" s="4">
        <v>11</v>
      </c>
      <c r="J173" s="5">
        <f>(I173/H173)</f>
        <v>0.6470588235294118</v>
      </c>
      <c r="K173" s="2" t="s">
        <v>104</v>
      </c>
    </row>
    <row r="174" spans="1:11" x14ac:dyDescent="0.3">
      <c r="A174" s="2" t="s">
        <v>78</v>
      </c>
      <c r="B174" s="2" t="s">
        <v>16</v>
      </c>
      <c r="C174" s="3">
        <v>7.92</v>
      </c>
      <c r="D174" s="3">
        <v>0.20100000000000001</v>
      </c>
      <c r="E174" s="3">
        <f>(C174 - MIN(C:C)) / (MAX(C:C) - MIN(C:C))</f>
        <v>0.33147243545010469</v>
      </c>
      <c r="F174" s="3">
        <f>1 - ((D174 - MIN(D:D)) / (MAX(D:D) - MIN(D:D)))</f>
        <v>0.49344978165938858</v>
      </c>
      <c r="G174" s="3">
        <f>0.5 *E174+0.5*F174</f>
        <v>0.4124611085547466</v>
      </c>
      <c r="H174" s="4">
        <v>19</v>
      </c>
      <c r="I174" s="4">
        <v>12</v>
      </c>
      <c r="J174" s="5">
        <f>(I174/H174)</f>
        <v>0.63157894736842102</v>
      </c>
      <c r="K174" s="2" t="s">
        <v>103</v>
      </c>
    </row>
    <row r="175" spans="1:11" x14ac:dyDescent="0.3">
      <c r="A175" s="2" t="s">
        <v>89</v>
      </c>
      <c r="B175" s="2" t="s">
        <v>33</v>
      </c>
      <c r="C175" s="3">
        <v>6.43</v>
      </c>
      <c r="D175" s="3">
        <v>0.17599999999999999</v>
      </c>
      <c r="E175" s="3">
        <f>(C175 - MIN(C:C)) / (MAX(C:C) - MIN(C:C))</f>
        <v>0.22749476622470341</v>
      </c>
      <c r="F175" s="3">
        <f>1 - ((D175 - MIN(D:D)) / (MAX(D:D) - MIN(D:D)))</f>
        <v>0.60262008733624461</v>
      </c>
      <c r="G175" s="3">
        <f>0.5 *E175+0.5*F175</f>
        <v>0.41505742678047403</v>
      </c>
      <c r="H175" s="4">
        <v>20</v>
      </c>
      <c r="I175" s="4">
        <v>14</v>
      </c>
      <c r="J175" s="5">
        <f>(I175/H175)</f>
        <v>0.7</v>
      </c>
      <c r="K175" s="2" t="s">
        <v>109</v>
      </c>
    </row>
    <row r="176" spans="1:11" x14ac:dyDescent="0.3">
      <c r="A176" s="2" t="s">
        <v>85</v>
      </c>
      <c r="B176" s="2" t="s">
        <v>35</v>
      </c>
      <c r="C176" s="3">
        <v>5.36</v>
      </c>
      <c r="D176" s="3">
        <v>0.158</v>
      </c>
      <c r="E176" s="3">
        <f>(C176 - MIN(C:C)) / (MAX(C:C) - MIN(C:C))</f>
        <v>0.15282623866015355</v>
      </c>
      <c r="F176" s="3">
        <f>1 - ((D176 - MIN(D:D)) / (MAX(D:D) - MIN(D:D)))</f>
        <v>0.68122270742358082</v>
      </c>
      <c r="G176" s="3">
        <f>0.5 *E176+0.5*F176</f>
        <v>0.41702447304186718</v>
      </c>
      <c r="H176" s="4">
        <v>14</v>
      </c>
      <c r="I176" s="4">
        <v>7</v>
      </c>
      <c r="J176" s="5">
        <f>(I176/H176)</f>
        <v>0.5</v>
      </c>
      <c r="K176" s="2" t="s">
        <v>108</v>
      </c>
    </row>
    <row r="177" spans="1:11" x14ac:dyDescent="0.3">
      <c r="A177" s="2" t="s">
        <v>89</v>
      </c>
      <c r="B177" s="2" t="s">
        <v>25</v>
      </c>
      <c r="C177" s="3">
        <v>10</v>
      </c>
      <c r="D177" s="3">
        <v>0.23100000000000001</v>
      </c>
      <c r="E177" s="3">
        <f>(C177 - MIN(C:C)) / (MAX(C:C) - MIN(C:C))</f>
        <v>0.47662247034194</v>
      </c>
      <c r="F177" s="3">
        <f>1 - ((D177 - MIN(D:D)) / (MAX(D:D) - MIN(D:D)))</f>
        <v>0.36244541484716142</v>
      </c>
      <c r="G177" s="3">
        <f>0.5 *E177+0.5*F177</f>
        <v>0.41953394259455068</v>
      </c>
      <c r="H177" s="4">
        <v>16</v>
      </c>
      <c r="I177" s="4">
        <v>8</v>
      </c>
      <c r="J177" s="5">
        <f>(I177/H177)</f>
        <v>0.5</v>
      </c>
      <c r="K177" s="2" t="s">
        <v>109</v>
      </c>
    </row>
    <row r="178" spans="1:11" x14ac:dyDescent="0.3">
      <c r="A178" s="2" t="s">
        <v>98</v>
      </c>
      <c r="B178" s="2" t="s">
        <v>12</v>
      </c>
      <c r="C178" s="3">
        <v>10</v>
      </c>
      <c r="D178" s="3">
        <v>0.22900000000000001</v>
      </c>
      <c r="E178" s="3">
        <f>(C178 - MIN(C:C)) / (MAX(C:C) - MIN(C:C))</f>
        <v>0.47662247034194</v>
      </c>
      <c r="F178" s="3">
        <f>1 - ((D178 - MIN(D:D)) / (MAX(D:D) - MIN(D:D)))</f>
        <v>0.37117903930130991</v>
      </c>
      <c r="G178" s="3">
        <f>0.5 *E178+0.5*F178</f>
        <v>0.42390075482162493</v>
      </c>
      <c r="H178" s="4">
        <v>13</v>
      </c>
      <c r="I178" s="4">
        <v>4</v>
      </c>
      <c r="J178" s="5">
        <f>(I178/H178)</f>
        <v>0.30769230769230771</v>
      </c>
      <c r="K178" s="2" t="s">
        <v>107</v>
      </c>
    </row>
    <row r="179" spans="1:11" x14ac:dyDescent="0.3">
      <c r="A179" s="2" t="s">
        <v>83</v>
      </c>
      <c r="B179" s="2" t="s">
        <v>6</v>
      </c>
      <c r="C179" s="3">
        <v>8.75</v>
      </c>
      <c r="D179" s="3">
        <v>0.20899999999999999</v>
      </c>
      <c r="E179" s="3">
        <f>(C179 - MIN(C:C)) / (MAX(C:C) - MIN(C:C))</f>
        <v>0.38939288206559663</v>
      </c>
      <c r="F179" s="3">
        <f>1 - ((D179 - MIN(D:D)) / (MAX(D:D) - MIN(D:D)))</f>
        <v>0.45851528384279483</v>
      </c>
      <c r="G179" s="3">
        <f>0.5 *E179+0.5*F179</f>
        <v>0.42395408295419573</v>
      </c>
      <c r="H179" s="4">
        <v>9</v>
      </c>
      <c r="I179" s="4">
        <v>4</v>
      </c>
      <c r="J179" s="5">
        <f>(I179/H179)</f>
        <v>0.44444444444444442</v>
      </c>
      <c r="K179" s="2" t="s">
        <v>105</v>
      </c>
    </row>
    <row r="180" spans="1:11" x14ac:dyDescent="0.3">
      <c r="A180" s="2" t="s">
        <v>98</v>
      </c>
      <c r="B180" s="2" t="s">
        <v>43</v>
      </c>
      <c r="C180" s="3">
        <v>8</v>
      </c>
      <c r="D180" s="3">
        <v>0.19700000000000001</v>
      </c>
      <c r="E180" s="3">
        <f>(C180 - MIN(C:C)) / (MAX(C:C) - MIN(C:C))</f>
        <v>0.33705512909979063</v>
      </c>
      <c r="F180" s="3">
        <f>1 - ((D180 - MIN(D:D)) / (MAX(D:D) - MIN(D:D)))</f>
        <v>0.51091703056768556</v>
      </c>
      <c r="G180" s="3">
        <f>0.5 *E180+0.5*F180</f>
        <v>0.42398607983373809</v>
      </c>
      <c r="H180" s="4">
        <v>19</v>
      </c>
      <c r="I180" s="4">
        <v>10</v>
      </c>
      <c r="J180" s="5">
        <f>(I180/H180)</f>
        <v>0.52631578947368418</v>
      </c>
      <c r="K180" s="2" t="s">
        <v>107</v>
      </c>
    </row>
    <row r="181" spans="1:11" x14ac:dyDescent="0.3">
      <c r="A181" s="2" t="s">
        <v>78</v>
      </c>
      <c r="B181" s="2" t="s">
        <v>65</v>
      </c>
      <c r="C181" s="3">
        <v>6.5</v>
      </c>
      <c r="D181" s="3">
        <v>0.17199999999999999</v>
      </c>
      <c r="E181" s="3">
        <f>(C181 - MIN(C:C)) / (MAX(C:C) - MIN(C:C))</f>
        <v>0.23237962316817865</v>
      </c>
      <c r="F181" s="3">
        <f>1 - ((D181 - MIN(D:D)) / (MAX(D:D) - MIN(D:D)))</f>
        <v>0.6200873362445416</v>
      </c>
      <c r="G181" s="3">
        <f>0.5 *E181+0.5*F181</f>
        <v>0.42623347970636011</v>
      </c>
      <c r="H181" s="4">
        <v>13</v>
      </c>
      <c r="I181" s="4">
        <v>5</v>
      </c>
      <c r="J181" s="5">
        <f>(I181/H181)</f>
        <v>0.38461538461538464</v>
      </c>
      <c r="K181" s="2" t="s">
        <v>103</v>
      </c>
    </row>
    <row r="182" spans="1:11" x14ac:dyDescent="0.3">
      <c r="A182" s="2" t="s">
        <v>92</v>
      </c>
      <c r="B182" s="2" t="s">
        <v>6</v>
      </c>
      <c r="C182" s="3">
        <v>5</v>
      </c>
      <c r="D182" s="3">
        <v>0.14799999999999999</v>
      </c>
      <c r="E182" s="3">
        <f>(C182 - MIN(C:C)) / (MAX(C:C) - MIN(C:C))</f>
        <v>0.12770411723656666</v>
      </c>
      <c r="F182" s="3">
        <f>1 - ((D182 - MIN(D:D)) / (MAX(D:D) - MIN(D:D)))</f>
        <v>0.72489082969432317</v>
      </c>
      <c r="G182" s="3">
        <f>0.5 *E182+0.5*F182</f>
        <v>0.42629747346544489</v>
      </c>
      <c r="H182" s="4">
        <v>19</v>
      </c>
      <c r="I182" s="4">
        <v>8</v>
      </c>
      <c r="J182" s="5">
        <f>(I182/H182)</f>
        <v>0.42105263157894735</v>
      </c>
      <c r="K182" s="2" t="s">
        <v>104</v>
      </c>
    </row>
    <row r="183" spans="1:11" x14ac:dyDescent="0.3">
      <c r="A183" s="2" t="s">
        <v>88</v>
      </c>
      <c r="B183" s="2" t="s">
        <v>66</v>
      </c>
      <c r="C183" s="3">
        <v>6.94</v>
      </c>
      <c r="D183" s="3">
        <v>0.17799999999999999</v>
      </c>
      <c r="E183" s="3">
        <f>(C183 - MIN(C:C)) / (MAX(C:C) - MIN(C:C))</f>
        <v>0.26308443824145156</v>
      </c>
      <c r="F183" s="3">
        <f>1 - ((D183 - MIN(D:D)) / (MAX(D:D) - MIN(D:D)))</f>
        <v>0.59388646288209612</v>
      </c>
      <c r="G183" s="3">
        <f>0.5 *E183+0.5*F183</f>
        <v>0.42848545056177384</v>
      </c>
      <c r="H183" s="4">
        <v>11</v>
      </c>
      <c r="I183" s="4">
        <v>9</v>
      </c>
      <c r="J183" s="5">
        <f>(I183/H183)</f>
        <v>0.81818181818181823</v>
      </c>
      <c r="K183" s="2" t="s">
        <v>109</v>
      </c>
    </row>
    <row r="184" spans="1:11" x14ac:dyDescent="0.3">
      <c r="A184" s="2" t="s">
        <v>85</v>
      </c>
      <c r="B184" s="2" t="s">
        <v>11</v>
      </c>
      <c r="C184" s="3">
        <v>7.5</v>
      </c>
      <c r="D184" s="3">
        <v>0.186</v>
      </c>
      <c r="E184" s="3">
        <f>(C184 - MIN(C:C)) / (MAX(C:C) - MIN(C:C))</f>
        <v>0.30216329378925333</v>
      </c>
      <c r="F184" s="3">
        <f>1 - ((D184 - MIN(D:D)) / (MAX(D:D) - MIN(D:D)))</f>
        <v>0.55895196506550215</v>
      </c>
      <c r="G184" s="3">
        <f>0.5 *E184+0.5*F184</f>
        <v>0.43055762942737774</v>
      </c>
      <c r="H184" s="4">
        <v>19</v>
      </c>
      <c r="I184" s="4">
        <v>16</v>
      </c>
      <c r="J184" s="5">
        <f>(I184/H184)</f>
        <v>0.84210526315789469</v>
      </c>
      <c r="K184" s="2" t="s">
        <v>108</v>
      </c>
    </row>
    <row r="185" spans="1:11" x14ac:dyDescent="0.3">
      <c r="A185" s="2" t="s">
        <v>94</v>
      </c>
      <c r="B185" s="2" t="s">
        <v>6</v>
      </c>
      <c r="C185" s="3">
        <v>6.79</v>
      </c>
      <c r="D185" s="3">
        <v>0.16900000000000001</v>
      </c>
      <c r="E185" s="3">
        <f>(C185 - MIN(C:C)) / (MAX(C:C) - MIN(C:C))</f>
        <v>0.25261688764829032</v>
      </c>
      <c r="F185" s="3">
        <f>1 - ((D185 - MIN(D:D)) / (MAX(D:D) - MIN(D:D)))</f>
        <v>0.63318777292576411</v>
      </c>
      <c r="G185" s="3">
        <f>0.5 *E185+0.5*F185</f>
        <v>0.44290233028702719</v>
      </c>
      <c r="H185" s="4">
        <v>19</v>
      </c>
      <c r="I185" s="4">
        <v>16</v>
      </c>
      <c r="J185" s="5">
        <f>(I185/H185)</f>
        <v>0.84210526315789469</v>
      </c>
      <c r="K185" s="2" t="s">
        <v>110</v>
      </c>
    </row>
    <row r="186" spans="1:11" x14ac:dyDescent="0.3">
      <c r="A186" s="2" t="s">
        <v>85</v>
      </c>
      <c r="B186" s="2" t="s">
        <v>68</v>
      </c>
      <c r="C186" s="3">
        <v>5</v>
      </c>
      <c r="D186" s="3">
        <v>0.14000000000000001</v>
      </c>
      <c r="E186" s="3">
        <f>(C186 - MIN(C:C)) / (MAX(C:C) - MIN(C:C))</f>
        <v>0.12770411723656666</v>
      </c>
      <c r="F186" s="3">
        <f>1 - ((D186 - MIN(D:D)) / (MAX(D:D) - MIN(D:D)))</f>
        <v>0.75982532751091703</v>
      </c>
      <c r="G186" s="3">
        <f>0.5 *E186+0.5*F186</f>
        <v>0.44376472237374187</v>
      </c>
      <c r="H186" s="4">
        <v>14</v>
      </c>
      <c r="I186" s="4">
        <v>8</v>
      </c>
      <c r="J186" s="5">
        <f>(I186/H186)</f>
        <v>0.5714285714285714</v>
      </c>
      <c r="K186" s="2" t="s">
        <v>108</v>
      </c>
    </row>
    <row r="187" spans="1:11" x14ac:dyDescent="0.3">
      <c r="A187" s="2" t="s">
        <v>97</v>
      </c>
      <c r="B187" s="2" t="s">
        <v>18</v>
      </c>
      <c r="C187" s="3">
        <v>9.5</v>
      </c>
      <c r="D187" s="3">
        <v>0.21099999999999999</v>
      </c>
      <c r="E187" s="3">
        <f>(C187 - MIN(C:C)) / (MAX(C:C) - MIN(C:C))</f>
        <v>0.44173063503140264</v>
      </c>
      <c r="F187" s="3">
        <f>1 - ((D187 - MIN(D:D)) / (MAX(D:D) - MIN(D:D)))</f>
        <v>0.44978165938864623</v>
      </c>
      <c r="G187" s="3">
        <f>0.5 *E187+0.5*F187</f>
        <v>0.44575614721002443</v>
      </c>
      <c r="H187" s="4">
        <v>19</v>
      </c>
      <c r="I187" s="4">
        <v>13</v>
      </c>
      <c r="J187" s="5">
        <f>(I187/H187)</f>
        <v>0.68421052631578949</v>
      </c>
      <c r="K187" s="2" t="s">
        <v>107</v>
      </c>
    </row>
    <row r="188" spans="1:11" x14ac:dyDescent="0.3">
      <c r="A188" s="2" t="s">
        <v>84</v>
      </c>
      <c r="B188" s="2" t="s">
        <v>9</v>
      </c>
      <c r="C188" s="3">
        <v>8.5</v>
      </c>
      <c r="D188" s="3">
        <v>0.19500000000000001</v>
      </c>
      <c r="E188" s="3">
        <f>(C188 - MIN(C:C)) / (MAX(C:C) - MIN(C:C))</f>
        <v>0.37194696441032798</v>
      </c>
      <c r="F188" s="3">
        <f>1 - ((D188 - MIN(D:D)) / (MAX(D:D) - MIN(D:D)))</f>
        <v>0.51965065502183405</v>
      </c>
      <c r="G188" s="3">
        <f>0.5 *E188+0.5*F188</f>
        <v>0.44579880971608099</v>
      </c>
      <c r="H188" s="4">
        <v>8</v>
      </c>
      <c r="I188" s="4">
        <v>5</v>
      </c>
      <c r="J188" s="5">
        <f>(I188/H188)</f>
        <v>0.625</v>
      </c>
      <c r="K188" s="2" t="s">
        <v>105</v>
      </c>
    </row>
    <row r="189" spans="1:11" x14ac:dyDescent="0.3">
      <c r="A189" s="2" t="s">
        <v>83</v>
      </c>
      <c r="B189" s="2" t="s">
        <v>44</v>
      </c>
      <c r="C189" s="3">
        <v>10</v>
      </c>
      <c r="D189" s="3">
        <v>0.217</v>
      </c>
      <c r="E189" s="3">
        <f>(C189 - MIN(C:C)) / (MAX(C:C) - MIN(C:C))</f>
        <v>0.47662247034194</v>
      </c>
      <c r="F189" s="3">
        <f>1 - ((D189 - MIN(D:D)) / (MAX(D:D) - MIN(D:D)))</f>
        <v>0.42358078602620075</v>
      </c>
      <c r="G189" s="3">
        <f>0.5 *E189+0.5*F189</f>
        <v>0.4501016281840704</v>
      </c>
      <c r="H189" s="4">
        <v>14</v>
      </c>
      <c r="I189" s="4">
        <v>10</v>
      </c>
      <c r="J189" s="5">
        <f>(I189/H189)</f>
        <v>0.7142857142857143</v>
      </c>
      <c r="K189" s="2" t="s">
        <v>105</v>
      </c>
    </row>
    <row r="190" spans="1:11" x14ac:dyDescent="0.3">
      <c r="A190" s="2" t="s">
        <v>77</v>
      </c>
      <c r="B190" s="2" t="s">
        <v>28</v>
      </c>
      <c r="C190" s="3">
        <v>7.5</v>
      </c>
      <c r="D190" s="3">
        <v>0.17699999999999999</v>
      </c>
      <c r="E190" s="3">
        <f>(C190 - MIN(C:C)) / (MAX(C:C) - MIN(C:C))</f>
        <v>0.30216329378925333</v>
      </c>
      <c r="F190" s="3">
        <f>1 - ((D190 - MIN(D:D)) / (MAX(D:D) - MIN(D:D)))</f>
        <v>0.59825327510917026</v>
      </c>
      <c r="G190" s="3">
        <f>0.5 *E190+0.5*F190</f>
        <v>0.45020828444921179</v>
      </c>
      <c r="H190" s="4">
        <v>19</v>
      </c>
      <c r="I190" s="4">
        <v>9</v>
      </c>
      <c r="J190" s="5">
        <f>(I190/H190)</f>
        <v>0.47368421052631576</v>
      </c>
      <c r="K190" s="2" t="s">
        <v>103</v>
      </c>
    </row>
    <row r="191" spans="1:11" x14ac:dyDescent="0.3">
      <c r="A191" s="2" t="s">
        <v>89</v>
      </c>
      <c r="B191" s="2" t="s">
        <v>6</v>
      </c>
      <c r="C191" s="3">
        <v>6.88</v>
      </c>
      <c r="D191" s="3">
        <v>0.16500000000000001</v>
      </c>
      <c r="E191" s="3">
        <f>(C191 - MIN(C:C)) / (MAX(C:C) - MIN(C:C))</f>
        <v>0.25889741800418703</v>
      </c>
      <c r="F191" s="3">
        <f>1 - ((D191 - MIN(D:D)) / (MAX(D:D) - MIN(D:D)))</f>
        <v>0.6506550218340611</v>
      </c>
      <c r="G191" s="3">
        <f>0.5 *E191+0.5*F191</f>
        <v>0.45477621991912409</v>
      </c>
      <c r="H191" s="4">
        <v>19</v>
      </c>
      <c r="I191" s="4">
        <v>14</v>
      </c>
      <c r="J191" s="5">
        <f>(I191/H191)</f>
        <v>0.73684210526315785</v>
      </c>
      <c r="K191" s="2" t="s">
        <v>109</v>
      </c>
    </row>
    <row r="192" spans="1:11" x14ac:dyDescent="0.3">
      <c r="A192" s="2" t="s">
        <v>91</v>
      </c>
      <c r="B192" s="2" t="s">
        <v>45</v>
      </c>
      <c r="C192" s="3">
        <v>6.56</v>
      </c>
      <c r="D192" s="3">
        <v>0.159</v>
      </c>
      <c r="E192" s="3">
        <f>(C192 - MIN(C:C)) / (MAX(C:C) - MIN(C:C))</f>
        <v>0.23656664340544312</v>
      </c>
      <c r="F192" s="3">
        <f>1 - ((D192 - MIN(D:D)) / (MAX(D:D) - MIN(D:D)))</f>
        <v>0.67685589519650646</v>
      </c>
      <c r="G192" s="3">
        <f>0.5 *E192+0.5*F192</f>
        <v>0.45671126930097478</v>
      </c>
      <c r="H192" s="4">
        <v>18</v>
      </c>
      <c r="I192" s="4">
        <v>16</v>
      </c>
      <c r="J192" s="5">
        <f>(I192/H192)</f>
        <v>0.88888888888888884</v>
      </c>
      <c r="K192" s="2" t="s">
        <v>104</v>
      </c>
    </row>
    <row r="193" spans="1:11" x14ac:dyDescent="0.3">
      <c r="A193" s="2" t="s">
        <v>84</v>
      </c>
      <c r="B193" s="2" t="s">
        <v>54</v>
      </c>
      <c r="C193" s="3">
        <v>7.7</v>
      </c>
      <c r="D193" s="3">
        <v>0.17699999999999999</v>
      </c>
      <c r="E193" s="3">
        <f>(C193 - MIN(C:C)) / (MAX(C:C) - MIN(C:C))</f>
        <v>0.31612002791346827</v>
      </c>
      <c r="F193" s="3">
        <f>1 - ((D193 - MIN(D:D)) / (MAX(D:D) - MIN(D:D)))</f>
        <v>0.59825327510917026</v>
      </c>
      <c r="G193" s="3">
        <f>0.5 *E193+0.5*F193</f>
        <v>0.45718665151131926</v>
      </c>
      <c r="H193" s="4">
        <v>18</v>
      </c>
      <c r="I193" s="4">
        <v>9</v>
      </c>
      <c r="J193" s="5">
        <f>(I193/H193)</f>
        <v>0.5</v>
      </c>
      <c r="K193" s="2" t="s">
        <v>105</v>
      </c>
    </row>
    <row r="194" spans="1:11" x14ac:dyDescent="0.3">
      <c r="A194" s="2" t="s">
        <v>80</v>
      </c>
      <c r="B194" s="2" t="s">
        <v>48</v>
      </c>
      <c r="C194" s="3">
        <v>6.67</v>
      </c>
      <c r="D194" s="3">
        <v>0.16</v>
      </c>
      <c r="E194" s="3">
        <f>(C194 - MIN(C:C)) / (MAX(C:C) - MIN(C:C))</f>
        <v>0.24424284717376135</v>
      </c>
      <c r="F194" s="3">
        <f>1 - ((D194 - MIN(D:D)) / (MAX(D:D) - MIN(D:D)))</f>
        <v>0.67248908296943233</v>
      </c>
      <c r="G194" s="3">
        <f>0.5 *E194+0.5*F194</f>
        <v>0.45836596507159683</v>
      </c>
      <c r="H194" s="4">
        <v>19</v>
      </c>
      <c r="I194" s="4">
        <v>12</v>
      </c>
      <c r="J194" s="5">
        <f>(I194/H194)</f>
        <v>0.63157894736842102</v>
      </c>
      <c r="K194" s="2" t="s">
        <v>106</v>
      </c>
    </row>
    <row r="195" spans="1:11" x14ac:dyDescent="0.3">
      <c r="A195" s="2" t="s">
        <v>81</v>
      </c>
      <c r="B195" s="2" t="s">
        <v>6</v>
      </c>
      <c r="C195" s="3">
        <v>6.94</v>
      </c>
      <c r="D195" s="3">
        <v>0.16200000000000001</v>
      </c>
      <c r="E195" s="3">
        <f>(C195 - MIN(C:C)) / (MAX(C:C) - MIN(C:C))</f>
        <v>0.26308443824145156</v>
      </c>
      <c r="F195" s="3">
        <f>1 - ((D195 - MIN(D:D)) / (MAX(D:D) - MIN(D:D)))</f>
        <v>0.66375545851528384</v>
      </c>
      <c r="G195" s="3">
        <f>0.5 *E195+0.5*F195</f>
        <v>0.4634199483783677</v>
      </c>
      <c r="H195" s="4">
        <v>19</v>
      </c>
      <c r="I195" s="4">
        <v>9</v>
      </c>
      <c r="J195" s="5">
        <f>(I195/H195)</f>
        <v>0.47368421052631576</v>
      </c>
      <c r="K195" s="2" t="s">
        <v>106</v>
      </c>
    </row>
    <row r="196" spans="1:11" x14ac:dyDescent="0.3">
      <c r="A196" s="2" t="s">
        <v>98</v>
      </c>
      <c r="B196" s="2" t="s">
        <v>6</v>
      </c>
      <c r="C196" s="3">
        <v>8.93</v>
      </c>
      <c r="D196" s="3">
        <v>0.193</v>
      </c>
      <c r="E196" s="3">
        <f>(C196 - MIN(C:C)) / (MAX(C:C) - MIN(C:C))</f>
        <v>0.40195394277739005</v>
      </c>
      <c r="F196" s="3">
        <f>1 - ((D196 - MIN(D:D)) / (MAX(D:D) - MIN(D:D)))</f>
        <v>0.52838427947598254</v>
      </c>
      <c r="G196" s="3">
        <f>0.5 *E196+0.5*F196</f>
        <v>0.4651691111266863</v>
      </c>
      <c r="H196" s="4">
        <v>18</v>
      </c>
      <c r="I196" s="4">
        <v>10</v>
      </c>
      <c r="J196" s="5">
        <f>(I196/H196)</f>
        <v>0.55555555555555558</v>
      </c>
      <c r="K196" s="2" t="s">
        <v>107</v>
      </c>
    </row>
    <row r="197" spans="1:11" x14ac:dyDescent="0.3">
      <c r="A197" s="2" t="s">
        <v>77</v>
      </c>
      <c r="B197" s="2" t="s">
        <v>10</v>
      </c>
      <c r="C197" s="3">
        <v>7.05</v>
      </c>
      <c r="D197" s="3">
        <v>0.16200000000000001</v>
      </c>
      <c r="E197" s="3">
        <f>(C197 - MIN(C:C)) / (MAX(C:C) - MIN(C:C))</f>
        <v>0.27076064200976968</v>
      </c>
      <c r="F197" s="3">
        <f>1 - ((D197 - MIN(D:D)) / (MAX(D:D) - MIN(D:D)))</f>
        <v>0.66375545851528384</v>
      </c>
      <c r="G197" s="3">
        <f>0.5 *E197+0.5*F197</f>
        <v>0.46725805026252676</v>
      </c>
      <c r="H197" s="4">
        <v>18</v>
      </c>
      <c r="I197" s="4">
        <v>11</v>
      </c>
      <c r="J197" s="5">
        <f>(I197/H197)</f>
        <v>0.61111111111111116</v>
      </c>
      <c r="K197" s="2" t="s">
        <v>103</v>
      </c>
    </row>
    <row r="198" spans="1:11" x14ac:dyDescent="0.3">
      <c r="A198" s="2" t="s">
        <v>78</v>
      </c>
      <c r="B198" s="2" t="s">
        <v>6</v>
      </c>
      <c r="C198" s="3">
        <v>10.83</v>
      </c>
      <c r="D198" s="3">
        <v>0.219</v>
      </c>
      <c r="E198" s="3">
        <f>(C198 - MIN(C:C)) / (MAX(C:C) - MIN(C:C))</f>
        <v>0.53454291695743195</v>
      </c>
      <c r="F198" s="3">
        <f>1 - ((D198 - MIN(D:D)) / (MAX(D:D) - MIN(D:D)))</f>
        <v>0.41484716157205237</v>
      </c>
      <c r="G198" s="3">
        <f>0.5 *E198+0.5*F198</f>
        <v>0.47469503926474216</v>
      </c>
      <c r="H198" s="4">
        <v>19</v>
      </c>
      <c r="I198" s="4">
        <v>4</v>
      </c>
      <c r="J198" s="5">
        <f>(I198/H198)</f>
        <v>0.21052631578947367</v>
      </c>
      <c r="K198" s="2" t="s">
        <v>103</v>
      </c>
    </row>
    <row r="199" spans="1:11" x14ac:dyDescent="0.3">
      <c r="A199" s="2" t="s">
        <v>85</v>
      </c>
      <c r="B199" s="2" t="s">
        <v>23</v>
      </c>
      <c r="C199" s="3">
        <v>6.25</v>
      </c>
      <c r="D199" s="3">
        <v>0.14499999999999999</v>
      </c>
      <c r="E199" s="3">
        <f>(C199 - MIN(C:C)) / (MAX(C:C) - MIN(C:C))</f>
        <v>0.21493370551290999</v>
      </c>
      <c r="F199" s="3">
        <f>1 - ((D199 - MIN(D:D)) / (MAX(D:D) - MIN(D:D)))</f>
        <v>0.73799126637554591</v>
      </c>
      <c r="G199" s="3">
        <f>0.5 *E199+0.5*F199</f>
        <v>0.47646248594422796</v>
      </c>
      <c r="H199" s="4">
        <v>12</v>
      </c>
      <c r="I199" s="4">
        <v>8</v>
      </c>
      <c r="J199" s="5">
        <f>(I199/H199)</f>
        <v>0.66666666666666663</v>
      </c>
      <c r="K199" s="2" t="s">
        <v>108</v>
      </c>
    </row>
    <row r="200" spans="1:11" x14ac:dyDescent="0.3">
      <c r="A200" s="2" t="s">
        <v>82</v>
      </c>
      <c r="B200" s="2" t="s">
        <v>17</v>
      </c>
      <c r="C200" s="3">
        <v>7.5</v>
      </c>
      <c r="D200" s="3">
        <v>0.16200000000000001</v>
      </c>
      <c r="E200" s="3">
        <f>(C200 - MIN(C:C)) / (MAX(C:C) - MIN(C:C))</f>
        <v>0.30216329378925333</v>
      </c>
      <c r="F200" s="3">
        <f>1 - ((D200 - MIN(D:D)) / (MAX(D:D) - MIN(D:D)))</f>
        <v>0.66375545851528384</v>
      </c>
      <c r="G200" s="3">
        <f>0.5 *E200+0.5*F200</f>
        <v>0.48295937615226858</v>
      </c>
      <c r="H200" s="4">
        <v>12</v>
      </c>
      <c r="I200" s="4">
        <v>7</v>
      </c>
      <c r="J200" s="5">
        <f>(I200/H200)</f>
        <v>0.58333333333333337</v>
      </c>
      <c r="K200" s="2" t="s">
        <v>105</v>
      </c>
    </row>
    <row r="201" spans="1:11" x14ac:dyDescent="0.3">
      <c r="A201" s="2" t="s">
        <v>81</v>
      </c>
      <c r="B201" s="2" t="s">
        <v>17</v>
      </c>
      <c r="C201" s="3">
        <v>5</v>
      </c>
      <c r="D201" s="3">
        <v>0.122</v>
      </c>
      <c r="E201" s="3">
        <f>(C201 - MIN(C:C)) / (MAX(C:C) - MIN(C:C))</f>
        <v>0.12770411723656666</v>
      </c>
      <c r="F201" s="3">
        <f>1 - ((D201 - MIN(D:D)) / (MAX(D:D) - MIN(D:D)))</f>
        <v>0.83842794759825323</v>
      </c>
      <c r="G201" s="3">
        <f>0.5 *E201+0.5*F201</f>
        <v>0.48306603241740997</v>
      </c>
      <c r="H201" s="4">
        <v>9</v>
      </c>
      <c r="I201" s="4">
        <v>8</v>
      </c>
      <c r="J201" s="5">
        <f>(I201/H201)</f>
        <v>0.88888888888888884</v>
      </c>
      <c r="K201" s="2" t="s">
        <v>106</v>
      </c>
    </row>
    <row r="202" spans="1:11" x14ac:dyDescent="0.3">
      <c r="A202" s="2" t="s">
        <v>88</v>
      </c>
      <c r="B202" s="2" t="s">
        <v>35</v>
      </c>
      <c r="C202" s="3">
        <v>9.58</v>
      </c>
      <c r="D202" s="3">
        <v>0.19400000000000001</v>
      </c>
      <c r="E202" s="3">
        <f>(C202 - MIN(C:C)) / (MAX(C:C) - MIN(C:C))</f>
        <v>0.44731332868108864</v>
      </c>
      <c r="F202" s="3">
        <f>1 - ((D202 - MIN(D:D)) / (MAX(D:D) - MIN(D:D)))</f>
        <v>0.52401746724890819</v>
      </c>
      <c r="G202" s="3">
        <f>0.5 *E202+0.5*F202</f>
        <v>0.48566539796499841</v>
      </c>
      <c r="H202" s="4">
        <v>15</v>
      </c>
      <c r="I202" s="4">
        <v>12</v>
      </c>
      <c r="J202" s="5">
        <f>(I202/H202)</f>
        <v>0.8</v>
      </c>
      <c r="K202" s="2" t="s">
        <v>109</v>
      </c>
    </row>
    <row r="203" spans="1:11" x14ac:dyDescent="0.3">
      <c r="A203" s="2" t="s">
        <v>77</v>
      </c>
      <c r="B203" s="2" t="s">
        <v>6</v>
      </c>
      <c r="C203" s="3">
        <v>8.2899999999999991</v>
      </c>
      <c r="D203" s="3">
        <v>0.17299999999999999</v>
      </c>
      <c r="E203" s="3">
        <f>(C203 - MIN(C:C)) / (MAX(C:C) - MIN(C:C))</f>
        <v>0.35729239357990222</v>
      </c>
      <c r="F203" s="3">
        <f>1 - ((D203 - MIN(D:D)) / (MAX(D:D) - MIN(D:D)))</f>
        <v>0.61572052401746724</v>
      </c>
      <c r="G203" s="3">
        <f>0.5 *E203+0.5*F203</f>
        <v>0.4865064587986847</v>
      </c>
      <c r="H203" s="4">
        <v>19</v>
      </c>
      <c r="I203" s="4">
        <v>19</v>
      </c>
      <c r="J203" s="5">
        <f>(I203/H203)</f>
        <v>1</v>
      </c>
      <c r="K203" s="2" t="s">
        <v>103</v>
      </c>
    </row>
    <row r="204" spans="1:11" x14ac:dyDescent="0.3">
      <c r="A204" s="2" t="s">
        <v>88</v>
      </c>
      <c r="B204" s="2" t="s">
        <v>6</v>
      </c>
      <c r="C204" s="3">
        <v>6.88</v>
      </c>
      <c r="D204" s="3">
        <v>0.15</v>
      </c>
      <c r="E204" s="3">
        <f>(C204 - MIN(C:C)) / (MAX(C:C) - MIN(C:C))</f>
        <v>0.25889741800418703</v>
      </c>
      <c r="F204" s="3">
        <f>1 - ((D204 - MIN(D:D)) / (MAX(D:D) - MIN(D:D)))</f>
        <v>0.71615720524017468</v>
      </c>
      <c r="G204" s="3">
        <f>0.5 *E204+0.5*F204</f>
        <v>0.48752731162218088</v>
      </c>
      <c r="H204" s="4">
        <v>17</v>
      </c>
      <c r="I204" s="4">
        <v>15</v>
      </c>
      <c r="J204" s="5">
        <f>(I204/H204)</f>
        <v>0.88235294117647056</v>
      </c>
      <c r="K204" s="2" t="s">
        <v>109</v>
      </c>
    </row>
    <row r="205" spans="1:11" x14ac:dyDescent="0.3">
      <c r="A205" s="2" t="s">
        <v>84</v>
      </c>
      <c r="B205" s="2" t="s">
        <v>6</v>
      </c>
      <c r="C205" s="3">
        <v>8.61</v>
      </c>
      <c r="D205" s="3">
        <v>0.17199999999999999</v>
      </c>
      <c r="E205" s="3">
        <f>(C205 - MIN(C:C)) / (MAX(C:C) - MIN(C:C))</f>
        <v>0.37962316817864616</v>
      </c>
      <c r="F205" s="3">
        <f>1 - ((D205 - MIN(D:D)) / (MAX(D:D) - MIN(D:D)))</f>
        <v>0.6200873362445416</v>
      </c>
      <c r="G205" s="3">
        <f>0.5 *E205+0.5*F205</f>
        <v>0.49985525221159388</v>
      </c>
      <c r="H205" s="4">
        <v>19</v>
      </c>
      <c r="I205" s="4">
        <v>9</v>
      </c>
      <c r="J205" s="5">
        <f>(I205/H205)</f>
        <v>0.47368421052631576</v>
      </c>
      <c r="K205" s="2" t="s">
        <v>105</v>
      </c>
    </row>
    <row r="206" spans="1:11" x14ac:dyDescent="0.3">
      <c r="A206" s="2" t="s">
        <v>78</v>
      </c>
      <c r="B206" s="2" t="s">
        <v>6</v>
      </c>
      <c r="C206" s="3">
        <v>8.17</v>
      </c>
      <c r="D206" s="3">
        <v>0.16</v>
      </c>
      <c r="E206" s="3">
        <f>(C206 - MIN(C:C)) / (MAX(C:C) - MIN(C:C))</f>
        <v>0.34891835310537334</v>
      </c>
      <c r="F206" s="3">
        <f>1 - ((D206 - MIN(D:D)) / (MAX(D:D) - MIN(D:D)))</f>
        <v>0.67248908296943233</v>
      </c>
      <c r="G206" s="3">
        <f>0.5 *E206+0.5*F206</f>
        <v>0.51070371803740278</v>
      </c>
      <c r="H206" s="4">
        <v>19</v>
      </c>
      <c r="I206" s="4">
        <v>15</v>
      </c>
      <c r="J206" s="5">
        <f>(I206/H206)</f>
        <v>0.78947368421052633</v>
      </c>
      <c r="K206" s="2" t="s">
        <v>103</v>
      </c>
    </row>
    <row r="207" spans="1:11" x14ac:dyDescent="0.3">
      <c r="A207" s="2" t="s">
        <v>78</v>
      </c>
      <c r="B207" s="2" t="s">
        <v>61</v>
      </c>
      <c r="C207" s="3">
        <v>7.5</v>
      </c>
      <c r="D207" s="3">
        <v>0.14199999999999999</v>
      </c>
      <c r="E207" s="3">
        <f>(C207 - MIN(C:C)) / (MAX(C:C) - MIN(C:C))</f>
        <v>0.30216329378925333</v>
      </c>
      <c r="F207" s="3">
        <f>1 - ((D207 - MIN(D:D)) / (MAX(D:D) - MIN(D:D)))</f>
        <v>0.75109170305676864</v>
      </c>
      <c r="G207" s="3">
        <f>0.5 *E207+0.5*F207</f>
        <v>0.52662749842301104</v>
      </c>
      <c r="H207" s="4">
        <v>8</v>
      </c>
      <c r="I207" s="4">
        <v>5</v>
      </c>
      <c r="J207" s="5">
        <f>(I207/H207)</f>
        <v>0.625</v>
      </c>
      <c r="K207" s="2" t="s">
        <v>103</v>
      </c>
    </row>
    <row r="208" spans="1:11" x14ac:dyDescent="0.3">
      <c r="A208" s="2" t="s">
        <v>92</v>
      </c>
      <c r="B208" s="2" t="s">
        <v>13</v>
      </c>
      <c r="C208" s="3">
        <v>9.17</v>
      </c>
      <c r="D208" s="3">
        <v>0.16800000000000001</v>
      </c>
      <c r="E208" s="3">
        <f>(C208 - MIN(C:C)) / (MAX(C:C) - MIN(C:C))</f>
        <v>0.41870202372644799</v>
      </c>
      <c r="F208" s="3">
        <f>1 - ((D208 - MIN(D:D)) / (MAX(D:D) - MIN(D:D)))</f>
        <v>0.63755458515283836</v>
      </c>
      <c r="G208" s="3">
        <f>0.5 *E208+0.5*F208</f>
        <v>0.5281283044396432</v>
      </c>
      <c r="H208" s="4">
        <v>19</v>
      </c>
      <c r="I208" s="4">
        <v>16</v>
      </c>
      <c r="J208" s="5">
        <f>(I208/H208)</f>
        <v>0.84210526315789469</v>
      </c>
      <c r="K208" s="2" t="s">
        <v>104</v>
      </c>
    </row>
    <row r="209" spans="1:11" x14ac:dyDescent="0.3">
      <c r="A209" s="2" t="s">
        <v>78</v>
      </c>
      <c r="B209" s="2" t="s">
        <v>25</v>
      </c>
      <c r="C209" s="3">
        <v>9.5</v>
      </c>
      <c r="D209" s="3">
        <v>0.17299999999999999</v>
      </c>
      <c r="E209" s="3">
        <f>(C209 - MIN(C:C)) / (MAX(C:C) - MIN(C:C))</f>
        <v>0.44173063503140264</v>
      </c>
      <c r="F209" s="3">
        <f>1 - ((D209 - MIN(D:D)) / (MAX(D:D) - MIN(D:D)))</f>
        <v>0.61572052401746724</v>
      </c>
      <c r="G209" s="3">
        <f>0.5 *E209+0.5*F209</f>
        <v>0.528725579524435</v>
      </c>
      <c r="H209" s="4">
        <v>9</v>
      </c>
      <c r="I209" s="4">
        <v>6</v>
      </c>
      <c r="J209" s="5">
        <f>(I209/H209)</f>
        <v>0.66666666666666663</v>
      </c>
      <c r="K209" s="2" t="s">
        <v>103</v>
      </c>
    </row>
    <row r="210" spans="1:11" x14ac:dyDescent="0.3">
      <c r="A210" s="2" t="s">
        <v>99</v>
      </c>
      <c r="B210" s="2" t="s">
        <v>6</v>
      </c>
      <c r="C210" s="3">
        <v>4.04</v>
      </c>
      <c r="D210" s="3">
        <v>8.5000000000000006E-2</v>
      </c>
      <c r="E210" s="3">
        <f>(C210 - MIN(C:C)) / (MAX(C:C) - MIN(C:C))</f>
        <v>6.071179344033497E-2</v>
      </c>
      <c r="F210" s="3">
        <f>1 - ((D210 - MIN(D:D)) / (MAX(D:D) - MIN(D:D)))</f>
        <v>1</v>
      </c>
      <c r="G210" s="3">
        <f>0.5 *E210+0.5*F210</f>
        <v>0.53035589672016747</v>
      </c>
      <c r="H210" s="4">
        <v>19</v>
      </c>
      <c r="I210" s="4">
        <v>13</v>
      </c>
      <c r="J210" s="5">
        <f>(I210/H210)</f>
        <v>0.68421052631578949</v>
      </c>
      <c r="K210" s="2" t="s">
        <v>107</v>
      </c>
    </row>
    <row r="211" spans="1:11" x14ac:dyDescent="0.3">
      <c r="A211" s="2" t="s">
        <v>78</v>
      </c>
      <c r="B211" s="2" t="s">
        <v>6</v>
      </c>
      <c r="C211" s="3">
        <v>12.5</v>
      </c>
      <c r="D211" s="3">
        <v>0.216</v>
      </c>
      <c r="E211" s="3">
        <f>(C211 - MIN(C:C)) / (MAX(C:C) - MIN(C:C))</f>
        <v>0.65108164689462666</v>
      </c>
      <c r="F211" s="3">
        <f>1 - ((D211 - MIN(D:D)) / (MAX(D:D) - MIN(D:D)))</f>
        <v>0.427947598253275</v>
      </c>
      <c r="G211" s="3">
        <f>0.5 *E211+0.5*F211</f>
        <v>0.53951462257395089</v>
      </c>
      <c r="H211" s="4">
        <v>19</v>
      </c>
      <c r="I211" s="4">
        <v>13</v>
      </c>
      <c r="J211" s="5">
        <f>(I211/H211)</f>
        <v>0.68421052631578949</v>
      </c>
      <c r="K211" s="2" t="s">
        <v>103</v>
      </c>
    </row>
    <row r="212" spans="1:11" x14ac:dyDescent="0.3">
      <c r="A212" s="2" t="s">
        <v>97</v>
      </c>
      <c r="B212" s="2" t="s">
        <v>55</v>
      </c>
      <c r="C212" s="3">
        <v>12</v>
      </c>
      <c r="D212" s="3">
        <v>0.20599999999999999</v>
      </c>
      <c r="E212" s="3">
        <f>(C212 - MIN(C:C)) / (MAX(C:C) - MIN(C:C))</f>
        <v>0.61618981158408936</v>
      </c>
      <c r="F212" s="3">
        <f>1 - ((D212 - MIN(D:D)) / (MAX(D:D) - MIN(D:D)))</f>
        <v>0.47161572052401746</v>
      </c>
      <c r="G212" s="3">
        <f>0.5 *E212+0.5*F212</f>
        <v>0.54390276605405341</v>
      </c>
      <c r="H212" s="4">
        <v>12</v>
      </c>
      <c r="I212" s="4">
        <v>11</v>
      </c>
      <c r="J212" s="5">
        <f>(I212/H212)</f>
        <v>0.91666666666666663</v>
      </c>
      <c r="K212" s="2" t="s">
        <v>107</v>
      </c>
    </row>
    <row r="213" spans="1:11" x14ac:dyDescent="0.3">
      <c r="A213" s="2" t="s">
        <v>95</v>
      </c>
      <c r="B213" s="2" t="s">
        <v>6</v>
      </c>
      <c r="C213" s="3">
        <v>10</v>
      </c>
      <c r="D213" s="3">
        <v>0.17399999999999999</v>
      </c>
      <c r="E213" s="3">
        <f>(C213 - MIN(C:C)) / (MAX(C:C) - MIN(C:C))</f>
        <v>0.47662247034194</v>
      </c>
      <c r="F213" s="3">
        <f>1 - ((D213 - MIN(D:D)) / (MAX(D:D) - MIN(D:D)))</f>
        <v>0.61135371179039311</v>
      </c>
      <c r="G213" s="3">
        <f>0.5 *E213+0.5*F213</f>
        <v>0.54398809106616652</v>
      </c>
      <c r="H213" s="4">
        <v>18</v>
      </c>
      <c r="I213" s="4">
        <v>9</v>
      </c>
      <c r="J213" s="5">
        <f>(I213/H213)</f>
        <v>0.5</v>
      </c>
      <c r="K213" s="2" t="s">
        <v>110</v>
      </c>
    </row>
    <row r="214" spans="1:11" x14ac:dyDescent="0.3">
      <c r="A214" s="2" t="s">
        <v>79</v>
      </c>
      <c r="B214" s="2" t="s">
        <v>24</v>
      </c>
      <c r="C214" s="3">
        <v>12.5</v>
      </c>
      <c r="D214" s="3">
        <v>0.19500000000000001</v>
      </c>
      <c r="E214" s="3">
        <f>(C214 - MIN(C:C)) / (MAX(C:C) - MIN(C:C))</f>
        <v>0.65108164689462666</v>
      </c>
      <c r="F214" s="3">
        <f>1 - ((D214 - MIN(D:D)) / (MAX(D:D) - MIN(D:D)))</f>
        <v>0.51965065502183405</v>
      </c>
      <c r="G214" s="3">
        <f>0.5 *E214+0.5*F214</f>
        <v>0.58536615095823041</v>
      </c>
      <c r="H214" s="4">
        <v>12</v>
      </c>
      <c r="I214" s="4">
        <v>8</v>
      </c>
      <c r="J214" s="5">
        <f>(I214/H214)</f>
        <v>0.66666666666666663</v>
      </c>
      <c r="K214" s="2" t="s">
        <v>103</v>
      </c>
    </row>
    <row r="215" spans="1:11" x14ac:dyDescent="0.3">
      <c r="A215" s="2" t="s">
        <v>95</v>
      </c>
      <c r="B215" s="2" t="s">
        <v>11</v>
      </c>
      <c r="C215" s="3">
        <v>17.5</v>
      </c>
      <c r="D215" s="3">
        <v>0.255</v>
      </c>
      <c r="E215" s="3">
        <f>(C215 - MIN(C:C)) / (MAX(C:C) - MIN(C:C))</f>
        <v>1</v>
      </c>
      <c r="F215" s="3">
        <f>1 - ((D215 - MIN(D:D)) / (MAX(D:D) - MIN(D:D)))</f>
        <v>0.25764192139737996</v>
      </c>
      <c r="G215" s="3">
        <f>0.5 *E215+0.5*F215</f>
        <v>0.62882096069868998</v>
      </c>
      <c r="H215" s="4">
        <v>19</v>
      </c>
      <c r="I215" s="4">
        <v>15</v>
      </c>
      <c r="J215" s="5">
        <f>(I215/H215)</f>
        <v>0.78947368421052633</v>
      </c>
      <c r="K215" s="2" t="s">
        <v>110</v>
      </c>
    </row>
    <row r="216" spans="1:11" x14ac:dyDescent="0.3">
      <c r="A216" s="2" t="s">
        <v>80</v>
      </c>
      <c r="B216" s="2" t="s">
        <v>23</v>
      </c>
      <c r="C216" s="3">
        <v>14.64</v>
      </c>
      <c r="D216" s="3">
        <v>0.20200000000000001</v>
      </c>
      <c r="E216" s="3">
        <f>(C216 - MIN(C:C)) / (MAX(C:C) - MIN(C:C))</f>
        <v>0.80041870202372645</v>
      </c>
      <c r="F216" s="3">
        <f>1 - ((D216 - MIN(D:D)) / (MAX(D:D) - MIN(D:D)))</f>
        <v>0.48908296943231433</v>
      </c>
      <c r="G216" s="3">
        <f>0.5 *E216+0.5*F216</f>
        <v>0.64475083572802039</v>
      </c>
      <c r="H216" s="4">
        <v>12</v>
      </c>
      <c r="I216" s="4">
        <v>8</v>
      </c>
      <c r="J216" s="5">
        <f>(I216/H216)</f>
        <v>0.66666666666666663</v>
      </c>
      <c r="K216" s="2" t="s">
        <v>106</v>
      </c>
    </row>
    <row r="217" spans="1:11" x14ac:dyDescent="0.3">
      <c r="A217" s="2" t="s">
        <v>83</v>
      </c>
      <c r="B217" s="2" t="s">
        <v>17</v>
      </c>
      <c r="C217" s="3">
        <v>10</v>
      </c>
      <c r="D217" s="3">
        <v>0.126</v>
      </c>
      <c r="E217" s="3">
        <f>(C217 - MIN(C:C)) / (MAX(C:C) - MIN(C:C))</f>
        <v>0.47662247034194</v>
      </c>
      <c r="F217" s="3">
        <f>1 - ((D217 - MIN(D:D)) / (MAX(D:D) - MIN(D:D)))</f>
        <v>0.82096069868995636</v>
      </c>
      <c r="G217" s="3">
        <f>0.5 *E217+0.5*F217</f>
        <v>0.64879158451594821</v>
      </c>
      <c r="H217" s="4">
        <v>10</v>
      </c>
      <c r="I217" s="4">
        <v>7</v>
      </c>
      <c r="J217" s="5">
        <f>(I217/H217)</f>
        <v>0.7</v>
      </c>
      <c r="K217" s="2" t="s">
        <v>105</v>
      </c>
    </row>
    <row r="218" spans="1:11" x14ac:dyDescent="0.3">
      <c r="A218" s="2" t="s">
        <v>81</v>
      </c>
      <c r="B218" s="2" t="s">
        <v>6</v>
      </c>
      <c r="C218" s="3">
        <v>10.83</v>
      </c>
      <c r="D218" s="3">
        <v>0.13700000000000001</v>
      </c>
      <c r="E218" s="3">
        <f>(C218 - MIN(C:C)) / (MAX(C:C) - MIN(C:C))</f>
        <v>0.53454291695743195</v>
      </c>
      <c r="F218" s="3">
        <f>1 - ((D218 - MIN(D:D)) / (MAX(D:D) - MIN(D:D)))</f>
        <v>0.77292576419213965</v>
      </c>
      <c r="G218" s="3">
        <f>0.5 *E218+0.5*F218</f>
        <v>0.65373434057478574</v>
      </c>
      <c r="H218" s="4">
        <v>12</v>
      </c>
      <c r="I218" s="4">
        <v>11</v>
      </c>
      <c r="J218" s="5">
        <f>(I218/H218)</f>
        <v>0.91666666666666663</v>
      </c>
      <c r="K218" s="2" t="s">
        <v>106</v>
      </c>
    </row>
    <row r="219" spans="1:11" x14ac:dyDescent="0.3">
      <c r="H219" s="4">
        <f>SUM(H2:H218)</f>
        <v>3606</v>
      </c>
      <c r="I219" s="4">
        <f>SUM(I2:I218)</f>
        <v>2253</v>
      </c>
    </row>
    <row r="220" spans="1:11" x14ac:dyDescent="0.3">
      <c r="H220" s="2"/>
      <c r="I220" s="2"/>
    </row>
  </sheetData>
  <sortState xmlns:xlrd2="http://schemas.microsoft.com/office/spreadsheetml/2017/richdata2" ref="A2:K219">
    <sortCondition ref="G10:G219"/>
  </sortState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aggregate</vt:lpstr>
      <vt:lpstr>by sequence</vt:lpstr>
      <vt:lpstr>hum_course_results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Savanna Leung</cp:lastModifiedBy>
  <dcterms:created xsi:type="dcterms:W3CDTF">2025-03-23T23:43:22Z</dcterms:created>
  <dcterms:modified xsi:type="dcterms:W3CDTF">2025-03-24T00:54:51Z</dcterms:modified>
</cp:coreProperties>
</file>
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/Users/savannaleung/Downloads/Maroon/data/course eval piece/"/>
    </mc:Choice>
  </mc:AlternateContent>
  <xr:revisionPtr revIDLastSave="0" documentId="13_ncr:1_{DE000806-C2DA-FC47-8A54-D93A41165781}" xr6:coauthVersionLast="47" xr6:coauthVersionMax="47" xr10:uidLastSave="{00000000-0000-0000-0000-000000000000}"/>
  <bookViews>
    <workbookView xWindow="820" yWindow="740" windowWidth="24040" windowHeight="16740" xr2:uid="{A81E828E-9F10-8948-90EE-E0B17C4F93F5}"/>
  </bookViews>
  <sheets>
    <sheet name="aggregated" sheetId="4" r:id="rId1"/>
    <sheet name="math_course_results" sheetId="1" r:id="rId2"/>
  </sheets>
  <calcPr calcId="191029"/>
  <pivotCaches>
    <pivotCache cacheId="1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9" i="1" l="1"/>
  <c r="H69" i="1"/>
  <c r="G2" i="1"/>
  <c r="E3" i="1"/>
  <c r="F3" i="1"/>
  <c r="J16" i="1"/>
  <c r="J3" i="1"/>
  <c r="J13" i="1"/>
  <c r="J20" i="1"/>
  <c r="J26" i="1"/>
  <c r="J37" i="1"/>
  <c r="J23" i="1"/>
  <c r="J4" i="1"/>
  <c r="J65" i="1"/>
  <c r="J45" i="1"/>
  <c r="J32" i="1"/>
  <c r="J61" i="1"/>
  <c r="J31" i="1"/>
  <c r="J52" i="1"/>
  <c r="J38" i="1"/>
  <c r="J35" i="1"/>
  <c r="J40" i="1"/>
  <c r="J68" i="1"/>
  <c r="J62" i="1"/>
  <c r="J60" i="1"/>
  <c r="J67" i="1"/>
  <c r="J59" i="1"/>
  <c r="J66" i="1"/>
  <c r="J64" i="1"/>
  <c r="J63" i="1"/>
  <c r="J51" i="1"/>
  <c r="J2" i="1"/>
  <c r="J44" i="1"/>
  <c r="J55" i="1"/>
  <c r="J53" i="1"/>
  <c r="J39" i="1"/>
  <c r="J43" i="1"/>
  <c r="J15" i="1"/>
  <c r="J47" i="1"/>
  <c r="J49" i="1"/>
  <c r="J33" i="1"/>
  <c r="J36" i="1"/>
  <c r="J19" i="1"/>
  <c r="J27" i="1"/>
  <c r="J7" i="1"/>
  <c r="J30" i="1"/>
  <c r="J10" i="1"/>
  <c r="J56" i="1"/>
  <c r="J54" i="1"/>
  <c r="J58" i="1"/>
  <c r="J48" i="1"/>
  <c r="J11" i="1"/>
  <c r="J14" i="1"/>
  <c r="J9" i="1"/>
  <c r="J8" i="1"/>
  <c r="J46" i="1"/>
  <c r="J50" i="1"/>
  <c r="J22" i="1"/>
  <c r="J21" i="1"/>
  <c r="J57" i="1"/>
  <c r="J24" i="1"/>
  <c r="J41" i="1"/>
  <c r="J5" i="1"/>
  <c r="J29" i="1"/>
  <c r="J34" i="1"/>
  <c r="J17" i="1"/>
  <c r="J28" i="1"/>
  <c r="J25" i="1"/>
  <c r="J12" i="1"/>
  <c r="J18" i="1"/>
  <c r="J42" i="1"/>
  <c r="J6" i="1"/>
  <c r="F11" i="1"/>
  <c r="F22" i="1"/>
  <c r="F46" i="1"/>
  <c r="F16" i="1"/>
  <c r="F13" i="1"/>
  <c r="F20" i="1"/>
  <c r="F26" i="1"/>
  <c r="F37" i="1"/>
  <c r="F23" i="1"/>
  <c r="F4" i="1"/>
  <c r="F45" i="1"/>
  <c r="F32" i="1"/>
  <c r="F61" i="1"/>
  <c r="F31" i="1"/>
  <c r="F52" i="1"/>
  <c r="F38" i="1"/>
  <c r="F35" i="1"/>
  <c r="F40" i="1"/>
  <c r="F68" i="1"/>
  <c r="F62" i="1"/>
  <c r="F60" i="1"/>
  <c r="F67" i="1"/>
  <c r="F59" i="1"/>
  <c r="F66" i="1"/>
  <c r="F64" i="1"/>
  <c r="F63" i="1"/>
  <c r="F51" i="1"/>
  <c r="F2" i="1"/>
  <c r="F44" i="1"/>
  <c r="F55" i="1"/>
  <c r="F18" i="1"/>
  <c r="F42" i="1"/>
  <c r="F53" i="1"/>
  <c r="F39" i="1"/>
  <c r="F43" i="1"/>
  <c r="F15" i="1"/>
  <c r="F47" i="1"/>
  <c r="F49" i="1"/>
  <c r="F33" i="1"/>
  <c r="F36" i="1"/>
  <c r="F19" i="1"/>
  <c r="F27" i="1"/>
  <c r="F7" i="1"/>
  <c r="F30" i="1"/>
  <c r="F10" i="1"/>
  <c r="F56" i="1"/>
  <c r="F54" i="1"/>
  <c r="F58" i="1"/>
  <c r="F48" i="1"/>
  <c r="F65" i="1"/>
  <c r="F14" i="1"/>
  <c r="F9" i="1"/>
  <c r="F8" i="1"/>
  <c r="F50" i="1"/>
  <c r="F21" i="1"/>
  <c r="F57" i="1"/>
  <c r="F24" i="1"/>
  <c r="F41" i="1"/>
  <c r="F5" i="1"/>
  <c r="F29" i="1"/>
  <c r="F34" i="1"/>
  <c r="F17" i="1"/>
  <c r="F28" i="1"/>
  <c r="F25" i="1"/>
  <c r="F12" i="1"/>
  <c r="F6" i="1"/>
  <c r="E37" i="1"/>
  <c r="G37" i="1" s="1"/>
  <c r="E23" i="1"/>
  <c r="G23" i="1" s="1"/>
  <c r="E4" i="1"/>
  <c r="E31" i="1"/>
  <c r="G31" i="1" s="1"/>
  <c r="E52" i="1"/>
  <c r="G52" i="1" s="1"/>
  <c r="E38" i="1"/>
  <c r="G38" i="1" s="1"/>
  <c r="E35" i="1"/>
  <c r="G35" i="1" s="1"/>
  <c r="E40" i="1"/>
  <c r="G40" i="1" s="1"/>
  <c r="E68" i="1"/>
  <c r="G68" i="1" s="1"/>
  <c r="E62" i="1"/>
  <c r="G62" i="1" s="1"/>
  <c r="E60" i="1"/>
  <c r="G60" i="1" s="1"/>
  <c r="E67" i="1"/>
  <c r="G67" i="1" s="1"/>
  <c r="E59" i="1"/>
  <c r="G59" i="1" s="1"/>
  <c r="E66" i="1"/>
  <c r="G66" i="1" s="1"/>
  <c r="E64" i="1"/>
  <c r="G64" i="1" s="1"/>
  <c r="E63" i="1"/>
  <c r="G63" i="1" s="1"/>
  <c r="E51" i="1"/>
  <c r="G51" i="1" s="1"/>
  <c r="E2" i="1"/>
  <c r="E44" i="1"/>
  <c r="G44" i="1" s="1"/>
  <c r="E55" i="1"/>
  <c r="G55" i="1" s="1"/>
  <c r="E16" i="1"/>
  <c r="E13" i="1"/>
  <c r="G13" i="1" s="1"/>
  <c r="E20" i="1"/>
  <c r="G20" i="1" s="1"/>
  <c r="E26" i="1"/>
  <c r="G26" i="1" s="1"/>
  <c r="E15" i="1"/>
  <c r="G15" i="1" s="1"/>
  <c r="E47" i="1"/>
  <c r="G47" i="1" s="1"/>
  <c r="E49" i="1"/>
  <c r="G49" i="1" s="1"/>
  <c r="E33" i="1"/>
  <c r="G33" i="1" s="1"/>
  <c r="E36" i="1"/>
  <c r="G36" i="1" s="1"/>
  <c r="E19" i="1"/>
  <c r="G19" i="1" s="1"/>
  <c r="E27" i="1"/>
  <c r="G27" i="1" s="1"/>
  <c r="E7" i="1"/>
  <c r="G7" i="1" s="1"/>
  <c r="E30" i="1"/>
  <c r="G30" i="1" s="1"/>
  <c r="E10" i="1"/>
  <c r="G10" i="1" s="1"/>
  <c r="E56" i="1"/>
  <c r="G56" i="1" s="1"/>
  <c r="E54" i="1"/>
  <c r="G54" i="1" s="1"/>
  <c r="E58" i="1"/>
  <c r="G58" i="1" s="1"/>
  <c r="E48" i="1"/>
  <c r="G48" i="1" s="1"/>
  <c r="E65" i="1"/>
  <c r="E45" i="1"/>
  <c r="G45" i="1" s="1"/>
  <c r="E32" i="1"/>
  <c r="G32" i="1" s="1"/>
  <c r="E61" i="1"/>
  <c r="G61" i="1" s="1"/>
  <c r="E34" i="1"/>
  <c r="G34" i="1" s="1"/>
  <c r="E17" i="1"/>
  <c r="G17" i="1" s="1"/>
  <c r="E28" i="1"/>
  <c r="G28" i="1" s="1"/>
  <c r="E25" i="1"/>
  <c r="G25" i="1" s="1"/>
  <c r="E12" i="1"/>
  <c r="G12" i="1" s="1"/>
  <c r="E18" i="1"/>
  <c r="G18" i="1" s="1"/>
  <c r="E42" i="1"/>
  <c r="G42" i="1" s="1"/>
  <c r="E53" i="1"/>
  <c r="E39" i="1"/>
  <c r="E43" i="1"/>
  <c r="E6" i="1"/>
  <c r="E11" i="1"/>
  <c r="G11" i="1" s="1"/>
  <c r="E14" i="1"/>
  <c r="E9" i="1"/>
  <c r="E8" i="1"/>
  <c r="G8" i="1" s="1"/>
  <c r="E46" i="1"/>
  <c r="E50" i="1"/>
  <c r="G50" i="1" s="1"/>
  <c r="E22" i="1"/>
  <c r="E21" i="1"/>
  <c r="G21" i="1" s="1"/>
  <c r="E57" i="1"/>
  <c r="G57" i="1" s="1"/>
  <c r="E24" i="1"/>
  <c r="G24" i="1" s="1"/>
  <c r="E41" i="1"/>
  <c r="G41" i="1" s="1"/>
  <c r="E5" i="1"/>
  <c r="G5" i="1" s="1"/>
  <c r="E29" i="1"/>
  <c r="G9" i="1" l="1"/>
  <c r="G14" i="1"/>
  <c r="G3" i="1"/>
  <c r="G43" i="1"/>
  <c r="G16" i="1"/>
  <c r="G65" i="1"/>
  <c r="G22" i="1"/>
  <c r="G39" i="1"/>
  <c r="G6" i="1"/>
  <c r="G29" i="1"/>
  <c r="G46" i="1"/>
  <c r="G53" i="1"/>
  <c r="G4" i="1"/>
</calcChain>
</file>

<file path=xl/sharedStrings.xml><?xml version="1.0" encoding="utf-8"?>
<sst xmlns="http://schemas.openxmlformats.org/spreadsheetml/2006/main" count="164" uniqueCount="69">
  <si>
    <t>Course Code</t>
  </si>
  <si>
    <t>Instructor</t>
  </si>
  <si>
    <t>Enrolled</t>
  </si>
  <si>
    <t>Responses</t>
  </si>
  <si>
    <t>Avg Hours</t>
  </si>
  <si>
    <t>Sentiment Score</t>
  </si>
  <si>
    <t>MATH 13100</t>
  </si>
  <si>
    <t>(s) Mariya Sardarli</t>
  </si>
  <si>
    <t>MATH 16200</t>
  </si>
  <si>
    <t>(s) Tobias</t>
  </si>
  <si>
    <t>CMSC 14200</t>
  </si>
  <si>
    <t>(s) Jesus AlmarazArgueta, Mohammed Suhail</t>
  </si>
  <si>
    <t>STAT 22000</t>
  </si>
  <si>
    <t>(s) Kendra Burbank</t>
  </si>
  <si>
    <t>(s) Fei Liu</t>
  </si>
  <si>
    <t>DATA 11800</t>
  </si>
  <si>
    <t>(s) William Trok</t>
  </si>
  <si>
    <t>(s) Susanna Lange</t>
  </si>
  <si>
    <t>CMSC 14100</t>
  </si>
  <si>
    <t>(s) Anne Rogers, Jesus AlmarazArgueta</t>
  </si>
  <si>
    <t>(s) Dan Nicolae</t>
  </si>
  <si>
    <t>MATH 15200</t>
  </si>
  <si>
    <t>(s) Daniel Campos Salas</t>
  </si>
  <si>
    <t>(s) Paul Apisa</t>
  </si>
  <si>
    <t>(s) Ronno Das</t>
  </si>
  <si>
    <t>(s)  Jesus AlmarazArgueta, Ravi Chugh</t>
  </si>
  <si>
    <t>(s) Borja Sotomayor Basilio, Jesus Almaraz</t>
  </si>
  <si>
    <t>(s) Carlos di Fiore</t>
  </si>
  <si>
    <t>STAT 20000</t>
  </si>
  <si>
    <t>(s) Yibi Huang</t>
  </si>
  <si>
    <t>(s) Aaron Elmore, Jesus AlmarazArgueta</t>
  </si>
  <si>
    <t>MATH 16210</t>
  </si>
  <si>
    <t>(s)</t>
  </si>
  <si>
    <t>(s)  Hannah Morgan, Jesus AlmarazArgueta</t>
  </si>
  <si>
    <t>(s) Oishee Banerjee</t>
  </si>
  <si>
    <t>MATH 16110</t>
  </si>
  <si>
    <t>(s) Anthony Wang</t>
  </si>
  <si>
    <t>(s) Amanda Kube</t>
  </si>
  <si>
    <t>(s)  Daniel Xiang</t>
  </si>
  <si>
    <t>(s) Jesus AlmarazArgueta, Matthew Wachs</t>
  </si>
  <si>
    <t>(s) Hannah Morgan, Jesus AlmarazArgueta</t>
  </si>
  <si>
    <t>(s)  Fei Liu</t>
  </si>
  <si>
    <t>(s) John</t>
  </si>
  <si>
    <t>MATH 16100</t>
  </si>
  <si>
    <t>(s) Andreas</t>
  </si>
  <si>
    <t>(s) William Trimble</t>
  </si>
  <si>
    <t>(s) Tina</t>
  </si>
  <si>
    <t>(s) Nicholas</t>
  </si>
  <si>
    <t>(s) Francisc Bozgan</t>
  </si>
  <si>
    <t>(s)  Yibi Huang</t>
  </si>
  <si>
    <t>(s) Ryan McShane</t>
  </si>
  <si>
    <t>(s) Adam Shaw, Jesus AlmarazArgueta</t>
  </si>
  <si>
    <t>MATH 15100</t>
  </si>
  <si>
    <t>(s) Anthony Chaves Aguilar</t>
  </si>
  <si>
    <t>(s)  Evelyn Campbell</t>
  </si>
  <si>
    <t>MATH 13200</t>
  </si>
  <si>
    <t>(s) Reid Harris</t>
  </si>
  <si>
    <t>(s)  Jesus AlmarazArgueta, Matthew Wachs</t>
  </si>
  <si>
    <t>Response Rate</t>
  </si>
  <si>
    <t>Normalised Hours</t>
  </si>
  <si>
    <t>Inverted Sentiment</t>
  </si>
  <si>
    <t>Final Difficulty Score</t>
  </si>
  <si>
    <t>Row Labels</t>
  </si>
  <si>
    <t>Grand Total</t>
  </si>
  <si>
    <t>Average of Response Rate</t>
  </si>
  <si>
    <t>Average of Avg Hours</t>
  </si>
  <si>
    <t>Average of Sentiment Score</t>
  </si>
  <si>
    <t>Average of Final Difficulty Score</t>
  </si>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</sst>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rgb="FFFF0000"/>
      <name val="Aptos Narrow"/>
      <family val="2"/>
      <scheme val="minor"/>
    </font>
    <font>
      <sz val="18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164" fontId="19" fillId="0" borderId="0" xfId="0" applyNumberFormat="1" applyFont="1"/>
    <xf numFmtId="164" fontId="18" fillId="0" borderId="0" xfId="0" applyNumberFormat="1" applyFont="1"/>
    <xf numFmtId="1" fontId="19" fillId="0" borderId="0" xfId="0" applyNumberFormat="1" applyFont="1"/>
    <xf numFmtId="1" fontId="18" fillId="0" borderId="0" xfId="0" applyNumberFormat="1" applyFont="1"/>
    <xf numFmtId="1" fontId="0" fillId="0" borderId="0" xfId="0" applyNumberFormat="1"/>
    <xf numFmtId="9" fontId="19" fillId="0" borderId="0" xfId="1" applyFont="1"/>
    <xf numFmtId="9" fontId="18" fillId="0" borderId="0" xfId="1" applyFon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9" fontId="0" fillId="0" borderId="0" xfId="0" applyNumberFormat="1"/>
    <xf numFmtId="1" fontId="20" fillId="0" borderId="0" xfId="0" applyNumberFormat="1" applyFont="1"/>
    <xf numFmtId="9" fontId="20" fillId="0" borderId="0" xfId="1" applyFont="1"/>
    <xf numFmtId="0" fontId="18" fillId="0" borderId="0" xfId="0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 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vanna Leung" refreshedDate="45739.754188425926" createdVersion="8" refreshedVersion="8" minRefreshableVersion="3" recordCount="67" xr:uid="{DF0679A1-1F16-D948-85B9-9F28EDA67953}">
  <cacheSource type="worksheet">
    <worksheetSource ref="A1:J68" sheet="math_course_results"/>
  </cacheSource>
  <cacheFields count="10">
    <cacheField name="Course Code" numFmtId="164">
      <sharedItems count="13">
        <s v="MATH 15200"/>
        <s v="MATH 13100"/>
        <s v="STAT 22000"/>
        <s v="MATH 16100"/>
        <s v="MATH 16110"/>
        <s v="MATH 16200"/>
        <s v="DATA 11800"/>
        <s v="MATH 16210"/>
        <s v="STAT 20000"/>
        <s v="CMSC 14200"/>
        <s v="CMSC 14100"/>
        <s v="MATH 13200"/>
        <s v="MATH 15100"/>
      </sharedItems>
    </cacheField>
    <cacheField name="Instructor" numFmtId="164">
      <sharedItems/>
    </cacheField>
    <cacheField name="Avg Hours" numFmtId="164">
      <sharedItems containsSemiMixedTypes="0" containsString="0" containsNumber="1" minValue="3.31" maxValue="17.5"/>
    </cacheField>
    <cacheField name="Sentiment Score" numFmtId="164">
      <sharedItems containsSemiMixedTypes="0" containsString="0" containsNumber="1" minValue="4.9000000000000002E-2" maxValue="0.28299999999999997"/>
    </cacheField>
    <cacheField name="Normalised Hours" numFmtId="164">
      <sharedItems containsSemiMixedTypes="0" containsString="0" containsNumber="1" minValue="0" maxValue="1"/>
    </cacheField>
    <cacheField name="Inverted Sentiment" numFmtId="164">
      <sharedItems containsSemiMixedTypes="0" containsString="0" containsNumber="1" minValue="0" maxValue="1"/>
    </cacheField>
    <cacheField name="Final Difficulty Score" numFmtId="164">
      <sharedItems containsSemiMixedTypes="0" containsString="0" containsNumber="1" minValue="0.17805966643175947" maxValue="0.86610288935870328"/>
    </cacheField>
    <cacheField name="Enrolled" numFmtId="1">
      <sharedItems containsSemiMixedTypes="0" containsString="0" containsNumber="1" containsInteger="1" minValue="6" maxValue="106"/>
    </cacheField>
    <cacheField name="Responses" numFmtId="1">
      <sharedItems containsSemiMixedTypes="0" containsString="0" containsNumber="1" containsInteger="1" minValue="4" maxValue="52"/>
    </cacheField>
    <cacheField name="Response Rate" numFmtId="9">
      <sharedItems containsSemiMixedTypes="0" containsString="0" containsNumber="1" minValue="0.27777777777777779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">
  <r>
    <x v="0"/>
    <s v="(s) Daniel Campos Salas"/>
    <n v="5.21"/>
    <n v="0.23100000000000001"/>
    <n v="0.1338971106412967"/>
    <n v="0.22222222222222221"/>
    <n v="0.17805966643175947"/>
    <n v="26"/>
    <n v="14"/>
    <n v="0.53846153846153844"/>
  </r>
  <r>
    <x v="1"/>
    <s v="(s) Oishee Banerjee"/>
    <n v="3.58"/>
    <n v="0.19800000000000001"/>
    <n v="1.9027484143763214E-2"/>
    <n v="0.36324786324786307"/>
    <n v="0.19113767369581314"/>
    <n v="34"/>
    <n v="12"/>
    <n v="0.35294117647058826"/>
  </r>
  <r>
    <x v="0"/>
    <s v="(s) Reid Harris"/>
    <n v="5.07"/>
    <n v="0.215"/>
    <n v="0.12403100775193801"/>
    <n v="0.29059829059829068"/>
    <n v="0.20731464917511433"/>
    <n v="36"/>
    <n v="16"/>
    <n v="0.44444444444444442"/>
  </r>
  <r>
    <x v="2"/>
    <s v="(s) Kendra Burbank"/>
    <n v="8.3800000000000008"/>
    <n v="0.25"/>
    <n v="0.35729386892177595"/>
    <n v="0.14102564102564097"/>
    <n v="0.24915975497370846"/>
    <n v="47"/>
    <n v="20"/>
    <n v="0.42553191489361702"/>
  </r>
  <r>
    <x v="3"/>
    <s v="(s) Tobias"/>
    <n v="5.5"/>
    <n v="0.19900000000000001"/>
    <n v="0.15433403805496829"/>
    <n v="0.35897435897435881"/>
    <n v="0.25665419851466353"/>
    <n v="6"/>
    <n v="5"/>
    <n v="0.83333333333333337"/>
  </r>
  <r>
    <x v="4"/>
    <s v="(s)"/>
    <n v="11.25"/>
    <n v="0.28299999999999997"/>
    <n v="0.55954897815362925"/>
    <n v="0"/>
    <n v="0.27977448907681463"/>
    <n v="13"/>
    <n v="9"/>
    <n v="0.69230769230769229"/>
  </r>
  <r>
    <x v="5"/>
    <s v="(s) Tobias"/>
    <n v="7.5"/>
    <n v="0.221"/>
    <n v="0.2952783650458069"/>
    <n v="0.26495726495726502"/>
    <n v="0.28011781500153599"/>
    <n v="6"/>
    <n v="6"/>
    <n v="1"/>
  </r>
  <r>
    <x v="6"/>
    <s v="(s) Amanda Kube"/>
    <n v="7.08"/>
    <n v="0.214"/>
    <n v="0.26568005637773079"/>
    <n v="0.29487179487179493"/>
    <n v="0.28027592562476289"/>
    <n v="30"/>
    <n v="13"/>
    <n v="0.43333333333333335"/>
  </r>
  <r>
    <x v="7"/>
    <s v="(s)"/>
    <n v="11.5"/>
    <n v="0.28100000000000003"/>
    <n v="0.57716701902748413"/>
    <n v="8.5470085470082946E-3"/>
    <n v="0.29285701378724621"/>
    <n v="13"/>
    <n v="10"/>
    <n v="0.76923076923076927"/>
  </r>
  <r>
    <x v="8"/>
    <s v="(s) Yibi Huang"/>
    <n v="6.76"/>
    <n v="0.20100000000000001"/>
    <n v="0.2431289640591966"/>
    <n v="0.35042735042735029"/>
    <n v="0.29677815724327344"/>
    <n v="57"/>
    <n v="29"/>
    <n v="0.50877192982456143"/>
  </r>
  <r>
    <x v="6"/>
    <s v="(s) William Trok"/>
    <n v="8.82"/>
    <n v="0.22900000000000001"/>
    <n v="0.38830162085976039"/>
    <n v="0.23076923076923073"/>
    <n v="0.30953542581449556"/>
    <n v="61"/>
    <n v="23"/>
    <n v="0.37704918032786883"/>
  </r>
  <r>
    <x v="0"/>
    <s v="(s) Anthony Wang"/>
    <n v="5.08"/>
    <n v="0.16"/>
    <n v="0.12473572938689219"/>
    <n v="0.52564102564102555"/>
    <n v="0.32518837751395885"/>
    <n v="34"/>
    <n v="16"/>
    <n v="0.47058823529411764"/>
  </r>
  <r>
    <x v="2"/>
    <s v="(s)  Daniel Xiang"/>
    <n v="6.94"/>
    <n v="0.186"/>
    <n v="0.2558139534883721"/>
    <n v="0.4145299145299145"/>
    <n v="0.3351719340091433"/>
    <n v="89"/>
    <n v="32"/>
    <n v="0.3595505617977528"/>
  </r>
  <r>
    <x v="2"/>
    <s v="(s) Fei Liu"/>
    <n v="10"/>
    <n v="0.23499999999999999"/>
    <n v="0.47145877378435513"/>
    <n v="0.20512820512820507"/>
    <n v="0.33829348945628013"/>
    <n v="59"/>
    <n v="21"/>
    <n v="0.3559322033898305"/>
  </r>
  <r>
    <x v="0"/>
    <s v="(s) Carlos di Fiore"/>
    <n v="3.31"/>
    <n v="0.121"/>
    <n v="0"/>
    <n v="0.69230769230769229"/>
    <n v="0.34615384615384615"/>
    <n v="34"/>
    <n v="16"/>
    <n v="0.47058823529411764"/>
  </r>
  <r>
    <x v="2"/>
    <s v="(s)  Daniel Xiang"/>
    <n v="8.75"/>
    <n v="0.21"/>
    <n v="0.38336856941508102"/>
    <n v="0.31196581196581208"/>
    <n v="0.34766719069044655"/>
    <n v="67"/>
    <n v="20"/>
    <n v="0.29850746268656714"/>
  </r>
  <r>
    <x v="6"/>
    <s v="(s) Susanna Lange"/>
    <n v="8.8800000000000008"/>
    <n v="0.20499999999999999"/>
    <n v="0.39252995066948559"/>
    <n v="0.33333333333333337"/>
    <n v="0.36293164200140948"/>
    <n v="80"/>
    <n v="32"/>
    <n v="0.4"/>
  </r>
  <r>
    <x v="4"/>
    <s v="(s)"/>
    <n v="10.71"/>
    <n v="0.23300000000000001"/>
    <n v="0.52149400986610295"/>
    <n v="0.21367521367521369"/>
    <n v="0.36758461177065832"/>
    <n v="18"/>
    <n v="14"/>
    <n v="0.77777777777777779"/>
  </r>
  <r>
    <x v="0"/>
    <s v="(s) Francisc Bozgan"/>
    <n v="6.86"/>
    <n v="0.16900000000000001"/>
    <n v="0.25017618040873857"/>
    <n v="0.48717948717948711"/>
    <n v="0.36867783379411284"/>
    <n v="33"/>
    <n v="18"/>
    <n v="0.54545454545454541"/>
  </r>
  <r>
    <x v="9"/>
    <s v="(s) Jesus AlmarazArgueta, Matthew Wachs"/>
    <n v="7.78"/>
    <n v="0.182"/>
    <n v="0.31501057082452438"/>
    <n v="0.43162393162393153"/>
    <n v="0.37331725122422799"/>
    <n v="57"/>
    <n v="22"/>
    <n v="0.38596491228070173"/>
  </r>
  <r>
    <x v="10"/>
    <s v="(s) Jesus AlmarazArgueta, Mohammed Suhail"/>
    <n v="7.73"/>
    <n v="0.18"/>
    <n v="0.31148696264975334"/>
    <n v="0.44017094017094016"/>
    <n v="0.37582895141034678"/>
    <n v="55"/>
    <n v="24"/>
    <n v="0.43636363636363634"/>
  </r>
  <r>
    <x v="11"/>
    <s v="(s) Reid Harris"/>
    <n v="5.12"/>
    <n v="0.13400000000000001"/>
    <n v="0.12755461592670897"/>
    <n v="0.63675213675213671"/>
    <n v="0.38215337633942281"/>
    <n v="28"/>
    <n v="13"/>
    <n v="0.4642857142857143"/>
  </r>
  <r>
    <x v="2"/>
    <s v="(s) Fei Liu"/>
    <n v="7.92"/>
    <n v="0.17799999999999999"/>
    <n v="0.32487667371388301"/>
    <n v="0.44871794871794868"/>
    <n v="0.38679731121591587"/>
    <n v="66"/>
    <n v="27"/>
    <n v="0.40909090909090912"/>
  </r>
  <r>
    <x v="2"/>
    <s v="(s)  Fei Liu"/>
    <n v="8.8000000000000007"/>
    <n v="0.188"/>
    <n v="0.38689217758985206"/>
    <n v="0.40598290598290587"/>
    <n v="0.39643754178637897"/>
    <n v="71"/>
    <n v="26"/>
    <n v="0.36619718309859156"/>
  </r>
  <r>
    <x v="12"/>
    <s v="(s) Anthony Chaves Aguilar"/>
    <n v="5.8"/>
    <n v="0.13600000000000001"/>
    <n v="0.17547568710359407"/>
    <n v="0.62820512820512819"/>
    <n v="0.40184040765436113"/>
    <n v="35"/>
    <n v="15"/>
    <n v="0.42857142857142855"/>
  </r>
  <r>
    <x v="9"/>
    <s v="(s)  Jesus AlmarazArgueta, Ravi Chugh"/>
    <n v="10.96"/>
    <n v="0.217"/>
    <n v="0.53911205073995772"/>
    <n v="0.28205128205128205"/>
    <n v="0.41058166639561988"/>
    <n v="68"/>
    <n v="32"/>
    <n v="0.47058823529411764"/>
  </r>
  <r>
    <x v="9"/>
    <s v="(s) Jesus AlmarazArgueta, Mohammed Suhail"/>
    <n v="8.75"/>
    <n v="0.17899999999999999"/>
    <n v="0.38336856941508102"/>
    <n v="0.44444444444444442"/>
    <n v="0.41390650692976272"/>
    <n v="37"/>
    <n v="16"/>
    <n v="0.43243243243243246"/>
  </r>
  <r>
    <x v="6"/>
    <s v="(s) Dan Nicolae"/>
    <n v="8.3800000000000008"/>
    <n v="0.17100000000000001"/>
    <n v="0.35729386892177595"/>
    <n v="0.4786324786324786"/>
    <n v="0.41796317377712727"/>
    <n v="87"/>
    <n v="45"/>
    <n v="0.51724137931034486"/>
  </r>
  <r>
    <x v="9"/>
    <s v="(s)  Hannah Morgan, Jesus AlmarazArgueta"/>
    <n v="11.5"/>
    <n v="0.221"/>
    <n v="0.57716701902748413"/>
    <n v="0.26495726495726502"/>
    <n v="0.42106214199237457"/>
    <n v="70"/>
    <n v="30"/>
    <n v="0.42857142857142855"/>
  </r>
  <r>
    <x v="3"/>
    <s v="(s) John"/>
    <n v="13.06"/>
    <n v="0.24299999999999999"/>
    <n v="0.68710359408033828"/>
    <n v="0.17094017094017089"/>
    <n v="0.42902188251025458"/>
    <n v="25"/>
    <n v="18"/>
    <n v="0.72"/>
  </r>
  <r>
    <x v="10"/>
    <s v="(s) Anne Rogers, Jesus AlmarazArgueta"/>
    <n v="12.71"/>
    <n v="0.23499999999999999"/>
    <n v="0.66243833685694153"/>
    <n v="0.20512820512820507"/>
    <n v="0.4337832709925733"/>
    <n v="66"/>
    <n v="31"/>
    <n v="0.46969696969696972"/>
  </r>
  <r>
    <x v="9"/>
    <s v="(s)  Jesus AlmarazArgueta, Matthew Wachs"/>
    <n v="10.39"/>
    <n v="0.19600000000000001"/>
    <n v="0.49894291754756875"/>
    <n v="0.3717948717948717"/>
    <n v="0.4353688946712202"/>
    <n v="57"/>
    <n v="21"/>
    <n v="0.36842105263157893"/>
  </r>
  <r>
    <x v="9"/>
    <s v="(s) Borja Sotomayor Basilio, Jesus Almaraz"/>
    <n v="8.7100000000000009"/>
    <n v="0.16600000000000001"/>
    <n v="0.38054968287526431"/>
    <n v="0.49999999999999989"/>
    <n v="0.44027484143763207"/>
    <n v="59"/>
    <n v="32"/>
    <n v="0.5423728813559322"/>
  </r>
  <r>
    <x v="9"/>
    <s v="(s) Adam Shaw, Jesus AlmarazArgueta"/>
    <n v="13.5"/>
    <n v="0.24099999999999999"/>
    <n v="0.71811134601832272"/>
    <n v="0.1794871794871794"/>
    <n v="0.44879926275275106"/>
    <n v="55"/>
    <n v="25"/>
    <n v="0.45454545454545453"/>
  </r>
  <r>
    <x v="3"/>
    <s v="(s) Tina"/>
    <n v="10.62"/>
    <n v="0.188"/>
    <n v="0.51515151515151503"/>
    <n v="0.40598290598290587"/>
    <n v="0.46056721056721045"/>
    <n v="17"/>
    <n v="9"/>
    <n v="0.52941176470588236"/>
  </r>
  <r>
    <x v="12"/>
    <s v="(s) Francisc Bozgan"/>
    <n v="4.72"/>
    <n v="0.09"/>
    <n v="9.9365750528541213E-2"/>
    <n v="0.82478632478632474"/>
    <n v="0.46207603765743299"/>
    <n v="24"/>
    <n v="17"/>
    <n v="0.70833333333333337"/>
  </r>
  <r>
    <x v="10"/>
    <s v="(s) Hannah Morgan, Jesus AlmarazArgueta"/>
    <n v="13.27"/>
    <n v="0.23"/>
    <n v="0.70190274841437628"/>
    <n v="0.22649572649572647"/>
    <n v="0.46419923745505137"/>
    <n v="51"/>
    <n v="17"/>
    <n v="0.33333333333333331"/>
  </r>
  <r>
    <x v="9"/>
    <s v="(s) Jesus AlmarazArgueta, Mohammed Suhail"/>
    <n v="9.7200000000000006"/>
    <n v="0.17"/>
    <n v="0.45172656800563782"/>
    <n v="0.48290598290598286"/>
    <n v="0.46731627545581034"/>
    <n v="49"/>
    <n v="21"/>
    <n v="0.42857142857142855"/>
  </r>
  <r>
    <x v="7"/>
    <s v="(s)"/>
    <n v="13.57"/>
    <n v="0.23300000000000001"/>
    <n v="0.72304439746300209"/>
    <n v="0.21367521367521369"/>
    <n v="0.46835980556910789"/>
    <n v="16"/>
    <n v="15"/>
    <n v="0.9375"/>
  </r>
  <r>
    <x v="2"/>
    <s v="(s)  Fei Liu"/>
    <n v="8.33"/>
    <n v="0.14299999999999999"/>
    <n v="0.35377026074700491"/>
    <n v="0.59829059829059839"/>
    <n v="0.47603042951880165"/>
    <n v="73"/>
    <n v="27"/>
    <n v="0.36986301369863012"/>
  </r>
  <r>
    <x v="9"/>
    <s v="(s) Jesus AlmarazArgueta, Matthew Wachs"/>
    <n v="9.3000000000000007"/>
    <n v="0.158"/>
    <n v="0.42212825933756171"/>
    <n v="0.53418803418803418"/>
    <n v="0.47815814676279794"/>
    <n v="53"/>
    <n v="26"/>
    <n v="0.49056603773584906"/>
  </r>
  <r>
    <x v="10"/>
    <s v="(s) Aaron Elmore, Jesus AlmarazArgueta"/>
    <n v="9.85"/>
    <n v="0.16600000000000001"/>
    <n v="0.46088794926004223"/>
    <n v="0.49999999999999989"/>
    <n v="0.48044397463002109"/>
    <n v="67"/>
    <n v="35"/>
    <n v="0.52238805970149249"/>
  </r>
  <r>
    <x v="0"/>
    <s v="(s) Paul Apisa"/>
    <n v="9"/>
    <n v="0.151"/>
    <n v="0.40098661028893584"/>
    <n v="0.5641025641025641"/>
    <n v="0.48254458719575"/>
    <n v="18"/>
    <n v="10"/>
    <n v="0.55555555555555558"/>
  </r>
  <r>
    <x v="5"/>
    <s v="(s) John"/>
    <n v="12.21"/>
    <n v="0.20200000000000001"/>
    <n v="0.62720225510923189"/>
    <n v="0.34615384615384603"/>
    <n v="0.48667805063153896"/>
    <n v="22"/>
    <n v="18"/>
    <n v="0.81818181818181823"/>
  </r>
  <r>
    <x v="5"/>
    <s v="(s) Tina"/>
    <n v="7.5"/>
    <n v="0.123"/>
    <n v="0.2952783650458069"/>
    <n v="0.68376068376068377"/>
    <n v="0.48951952440324531"/>
    <n v="18"/>
    <n v="7"/>
    <n v="0.3888888888888889"/>
  </r>
  <r>
    <x v="6"/>
    <s v="(s) Amanda Kube"/>
    <n v="10"/>
    <n v="0.16300000000000001"/>
    <n v="0.47145877378435513"/>
    <n v="0.51282051282051277"/>
    <n v="0.49213964330243398"/>
    <n v="86"/>
    <n v="45"/>
    <n v="0.52325581395348841"/>
  </r>
  <r>
    <x v="3"/>
    <s v="(s) Andreas"/>
    <n v="11.94"/>
    <n v="0.193"/>
    <n v="0.60817477096546857"/>
    <n v="0.38461538461538447"/>
    <n v="0.49639507779042652"/>
    <n v="25"/>
    <n v="19"/>
    <n v="0.76"/>
  </r>
  <r>
    <x v="5"/>
    <s v="(s) Nicholas"/>
    <n v="10"/>
    <n v="0.158"/>
    <n v="0.47145877378435513"/>
    <n v="0.53418803418803418"/>
    <n v="0.50282340398619463"/>
    <n v="7"/>
    <n v="4"/>
    <n v="0.5714285714285714"/>
  </r>
  <r>
    <x v="8"/>
    <s v="(s)  Yibi Huang"/>
    <n v="7.5"/>
    <n v="0.11"/>
    <n v="0.2952783650458069"/>
    <n v="0.73931623931623935"/>
    <n v="0.5172973021810231"/>
    <n v="54"/>
    <n v="15"/>
    <n v="0.27777777777777779"/>
  </r>
  <r>
    <x v="1"/>
    <s v="(s) Mariya Sardarli"/>
    <n v="7.26"/>
    <n v="0.105"/>
    <n v="0.27836504580690624"/>
    <n v="0.76068376068376065"/>
    <n v="0.51952440324533344"/>
    <n v="34"/>
    <n v="17"/>
    <n v="0.5"/>
  </r>
  <r>
    <x v="7"/>
    <s v="(s)"/>
    <n v="13.21"/>
    <n v="0.19800000000000001"/>
    <n v="0.69767441860465118"/>
    <n v="0.36324786324786307"/>
    <n v="0.53046114092625718"/>
    <n v="17"/>
    <n v="7"/>
    <n v="0.41176470588235292"/>
  </r>
  <r>
    <x v="2"/>
    <s v="(s) Kendra Burbank"/>
    <n v="9.31"/>
    <n v="0.13300000000000001"/>
    <n v="0.42283298097251587"/>
    <n v="0.64102564102564097"/>
    <n v="0.53192931099907836"/>
    <n v="106"/>
    <n v="40"/>
    <n v="0.37735849056603776"/>
  </r>
  <r>
    <x v="10"/>
    <s v="(s) Aaron Elmore, Jesus AlmarazArgueta"/>
    <n v="11.61"/>
    <n v="0.16900000000000001"/>
    <n v="0.58491895701198027"/>
    <n v="0.48717948717948711"/>
    <n v="0.53604922209573369"/>
    <n v="62"/>
    <n v="39"/>
    <n v="0.62903225806451613"/>
  </r>
  <r>
    <x v="1"/>
    <s v="(s) Ronno Das"/>
    <n v="6.31"/>
    <n v="7.6999999999999999E-2"/>
    <n v="0.21141649048625791"/>
    <n v="0.88034188034188032"/>
    <n v="0.5458791854140691"/>
    <n v="34"/>
    <n v="16"/>
    <n v="0.47058823529411764"/>
  </r>
  <r>
    <x v="10"/>
    <s v="(s) Anne Rogers, Jesus AlmarazArgueta"/>
    <n v="11.54"/>
    <n v="0.16200000000000001"/>
    <n v="0.5799859055673009"/>
    <n v="0.51709401709401703"/>
    <n v="0.54853996133065897"/>
    <n v="63"/>
    <n v="28"/>
    <n v="0.44444444444444442"/>
  </r>
  <r>
    <x v="10"/>
    <s v="(s) Hannah Morgan, Jesus AlmarazArgueta"/>
    <n v="7.88"/>
    <n v="9.4E-2"/>
    <n v="0.3220577871740663"/>
    <n v="0.80769230769230771"/>
    <n v="0.56487504743318695"/>
    <n v="48"/>
    <n v="31"/>
    <n v="0.64583333333333337"/>
  </r>
  <r>
    <x v="6"/>
    <s v="(s) William Trimble"/>
    <n v="11.73"/>
    <n v="0.157"/>
    <n v="0.59337561663143057"/>
    <n v="0.53846153846153844"/>
    <n v="0.56591857754648456"/>
    <n v="24"/>
    <n v="14"/>
    <n v="0.58333333333333337"/>
  </r>
  <r>
    <x v="4"/>
    <s v="(s)"/>
    <n v="15.23"/>
    <n v="0.21099999999999999"/>
    <n v="0.84002818886539821"/>
    <n v="0.30769230769230771"/>
    <n v="0.57386024827885296"/>
    <n v="15"/>
    <n v="11"/>
    <n v="0.73333333333333328"/>
  </r>
  <r>
    <x v="5"/>
    <s v="(s) Andreas"/>
    <n v="15"/>
    <n v="0.191"/>
    <n v="0.82381959126145177"/>
    <n v="0.3931623931623931"/>
    <n v="0.60849099221192238"/>
    <n v="20"/>
    <n v="14"/>
    <n v="0.7"/>
  </r>
  <r>
    <x v="10"/>
    <s v="(s) Jesus AlmarazArgueta, Mohammed Suhail"/>
    <n v="12.88"/>
    <n v="0.155"/>
    <n v="0.67441860465116288"/>
    <n v="0.54700854700854706"/>
    <n v="0.61071357582985497"/>
    <n v="60"/>
    <n v="29"/>
    <n v="0.48333333333333334"/>
  </r>
  <r>
    <x v="4"/>
    <s v="(s)"/>
    <n v="14.17"/>
    <n v="0.16700000000000001"/>
    <n v="0.76532769556025371"/>
    <n v="0.49572649572649563"/>
    <n v="0.63052709564337461"/>
    <n v="17"/>
    <n v="12"/>
    <n v="0.70588235294117652"/>
  </r>
  <r>
    <x v="7"/>
    <s v="(s)"/>
    <n v="17.5"/>
    <n v="0.215"/>
    <n v="1"/>
    <n v="0.29059829059829068"/>
    <n v="0.64529914529914534"/>
    <n v="12"/>
    <n v="7"/>
    <n v="0.58333333333333337"/>
  </r>
  <r>
    <x v="10"/>
    <s v="(s) Anne Rogers, Jesus AlmarazArgueta"/>
    <n v="16.39"/>
    <n v="0.19500000000000001"/>
    <n v="0.92177589852008457"/>
    <n v="0.37606837606837595"/>
    <n v="0.64892213729423021"/>
    <n v="62"/>
    <n v="33"/>
    <n v="0.532258064516129"/>
  </r>
  <r>
    <x v="2"/>
    <s v="(s) Ryan McShane"/>
    <n v="12.13"/>
    <n v="0.10299999999999999"/>
    <n v="0.62156448202959835"/>
    <n v="0.76923076923076927"/>
    <n v="0.69539762563018381"/>
    <n v="50"/>
    <n v="27"/>
    <n v="0.54"/>
  </r>
  <r>
    <x v="3"/>
    <s v="(s) Nicholas"/>
    <n v="15.83"/>
    <n v="0.13200000000000001"/>
    <n v="0.88231148696264972"/>
    <n v="0.64529914529914523"/>
    <n v="0.76380531613089753"/>
    <n v="13"/>
    <n v="6"/>
    <n v="0.46153846153846156"/>
  </r>
  <r>
    <x v="6"/>
    <s v="(s)  Evelyn Campbell"/>
    <n v="15"/>
    <n v="0.112"/>
    <n v="0.82381959126145177"/>
    <n v="0.73076923076923073"/>
    <n v="0.77729441101534125"/>
    <n v="75"/>
    <n v="29"/>
    <n v="0.38666666666666666"/>
  </r>
  <r>
    <x v="2"/>
    <s v="(s) Ryan McShane"/>
    <n v="13.7"/>
    <n v="4.9000000000000002E-2"/>
    <n v="0.73220577871740655"/>
    <n v="1"/>
    <n v="0.86610288935870328"/>
    <n v="92"/>
    <n v="52"/>
    <n v="0.5652173913043477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7A14F7-A016-154C-B860-F65511062C0C}" name="PivotTable3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3:E17" firstHeaderRow="0" firstDataRow="1" firstDataCol="1"/>
  <pivotFields count="10">
    <pivotField axis="axisRow" showAll="0" sortType="ascending">
      <items count="14">
        <item x="10"/>
        <item x="9"/>
        <item x="6"/>
        <item x="1"/>
        <item x="11"/>
        <item x="12"/>
        <item x="0"/>
        <item x="3"/>
        <item x="4"/>
        <item x="5"/>
        <item x="7"/>
        <item x="8"/>
        <item x="2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dataField="1" numFmtId="164" showAll="0"/>
    <pivotField dataField="1" numFmtId="164" showAll="0"/>
    <pivotField numFmtId="164" showAll="0"/>
    <pivotField numFmtId="164" showAll="0"/>
    <pivotField dataField="1" numFmtId="164" showAll="0"/>
    <pivotField numFmtId="1" showAll="0"/>
    <pivotField numFmtId="1" showAll="0"/>
    <pivotField dataField="1" numFmtId="9" showAll="0"/>
  </pivotFields>
  <rowFields count="1">
    <field x="0"/>
  </rowFields>
  <rowItems count="14">
    <i>
      <x v="6"/>
    </i>
    <i>
      <x v="4"/>
    </i>
    <i>
      <x v="11"/>
    </i>
    <i>
      <x v="3"/>
    </i>
    <i>
      <x v="5"/>
    </i>
    <i>
      <x v="1"/>
    </i>
    <i>
      <x v="2"/>
    </i>
    <i>
      <x v="12"/>
    </i>
    <i>
      <x v="8"/>
    </i>
    <i>
      <x v="9"/>
    </i>
    <i>
      <x v="7"/>
    </i>
    <i>
      <x v="10"/>
    </i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Response Rate" fld="9" subtotal="average" baseField="0" baseItem="0" numFmtId="9"/>
    <dataField name="Average of Avg Hours" fld="2" subtotal="average" baseField="0" baseItem="0" numFmtId="164"/>
    <dataField name="Average of Sentiment Score" fld="3" subtotal="average" baseField="0" baseItem="0" numFmtId="164"/>
    <dataField name="Average of Final Difficulty Score" fld="6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A4073-C31E-DF48-AF1F-D74ABD4E8BDA}">
  <dimension ref="A3:E24"/>
  <sheetViews>
    <sheetView tabSelected="1" zoomScale="101" workbookViewId="0">
      <selection activeCell="I21" sqref="I21"/>
    </sheetView>
  </sheetViews>
  <sheetFormatPr baseColWidth="10" defaultRowHeight="16" x14ac:dyDescent="0.2"/>
  <cols>
    <col min="1" max="1" width="13" bestFit="1" customWidth="1"/>
    <col min="2" max="2" width="22.83203125" bestFit="1" customWidth="1"/>
    <col min="3" max="3" width="18.6640625" bestFit="1" customWidth="1"/>
    <col min="4" max="4" width="24" bestFit="1" customWidth="1"/>
    <col min="5" max="5" width="27.6640625" bestFit="1" customWidth="1"/>
  </cols>
  <sheetData>
    <row r="3" spans="1:5" x14ac:dyDescent="0.2">
      <c r="A3" s="9" t="s">
        <v>62</v>
      </c>
      <c r="B3" t="s">
        <v>64</v>
      </c>
      <c r="C3" t="s">
        <v>65</v>
      </c>
      <c r="D3" t="s">
        <v>66</v>
      </c>
      <c r="E3" t="s">
        <v>67</v>
      </c>
    </row>
    <row r="4" spans="1:5" x14ac:dyDescent="0.2">
      <c r="A4" s="10" t="s">
        <v>21</v>
      </c>
      <c r="B4" s="12">
        <v>0.50418209241738643</v>
      </c>
      <c r="C4" s="11">
        <v>5.7549999999999999</v>
      </c>
      <c r="D4" s="11">
        <v>0.17449999999999999</v>
      </c>
      <c r="E4" s="11">
        <v>0.31798982671075698</v>
      </c>
    </row>
    <row r="5" spans="1:5" x14ac:dyDescent="0.2">
      <c r="A5" s="10" t="s">
        <v>55</v>
      </c>
      <c r="B5" s="12">
        <v>0.4642857142857143</v>
      </c>
      <c r="C5" s="11">
        <v>5.12</v>
      </c>
      <c r="D5" s="11">
        <v>0.13400000000000001</v>
      </c>
      <c r="E5" s="11">
        <v>0.38215337633942281</v>
      </c>
    </row>
    <row r="6" spans="1:5" x14ac:dyDescent="0.2">
      <c r="A6" s="10" t="s">
        <v>28</v>
      </c>
      <c r="B6" s="12">
        <v>0.39327485380116961</v>
      </c>
      <c r="C6" s="11">
        <v>7.13</v>
      </c>
      <c r="D6" s="11">
        <v>0.1555</v>
      </c>
      <c r="E6" s="11">
        <v>0.40703772971214824</v>
      </c>
    </row>
    <row r="7" spans="1:5" x14ac:dyDescent="0.2">
      <c r="A7" s="10" t="s">
        <v>6</v>
      </c>
      <c r="B7" s="12">
        <v>0.44117647058823534</v>
      </c>
      <c r="C7" s="11">
        <v>5.7166666666666659</v>
      </c>
      <c r="D7" s="11">
        <v>0.12666666666666668</v>
      </c>
      <c r="E7" s="11">
        <v>0.41884708745173854</v>
      </c>
    </row>
    <row r="8" spans="1:5" x14ac:dyDescent="0.2">
      <c r="A8" s="10" t="s">
        <v>52</v>
      </c>
      <c r="B8" s="12">
        <v>0.56845238095238093</v>
      </c>
      <c r="C8" s="11">
        <v>5.26</v>
      </c>
      <c r="D8" s="11">
        <v>0.113</v>
      </c>
      <c r="E8" s="11">
        <v>0.43195822265589706</v>
      </c>
    </row>
    <row r="9" spans="1:5" x14ac:dyDescent="0.2">
      <c r="A9" s="10" t="s">
        <v>10</v>
      </c>
      <c r="B9" s="12">
        <v>0.44467042926876932</v>
      </c>
      <c r="C9" s="11">
        <v>10.067777777777778</v>
      </c>
      <c r="D9" s="11">
        <v>0.19222222222222221</v>
      </c>
      <c r="E9" s="11">
        <v>0.43208722084691076</v>
      </c>
    </row>
    <row r="10" spans="1:5" x14ac:dyDescent="0.2">
      <c r="A10" s="10" t="s">
        <v>15</v>
      </c>
      <c r="B10" s="12">
        <v>0.46012567241786223</v>
      </c>
      <c r="C10" s="11">
        <v>9.9842857142857149</v>
      </c>
      <c r="D10" s="11">
        <v>0.17871428571428574</v>
      </c>
      <c r="E10" s="11">
        <v>0.45800839986886505</v>
      </c>
    </row>
    <row r="11" spans="1:5" x14ac:dyDescent="0.2">
      <c r="A11" s="10" t="s">
        <v>12</v>
      </c>
      <c r="B11" s="12">
        <v>0.40672491305262842</v>
      </c>
      <c r="C11" s="11">
        <v>9.4260000000000002</v>
      </c>
      <c r="D11" s="11">
        <v>0.16749999999999998</v>
      </c>
      <c r="E11" s="11">
        <v>0.46229874776386398</v>
      </c>
    </row>
    <row r="12" spans="1:5" x14ac:dyDescent="0.2">
      <c r="A12" s="10" t="s">
        <v>35</v>
      </c>
      <c r="B12" s="12">
        <v>0.72732528908999505</v>
      </c>
      <c r="C12" s="11">
        <v>12.84</v>
      </c>
      <c r="D12" s="11">
        <v>0.2235</v>
      </c>
      <c r="E12" s="11">
        <v>0.46293661119242513</v>
      </c>
    </row>
    <row r="13" spans="1:5" x14ac:dyDescent="0.2">
      <c r="A13" s="10" t="s">
        <v>8</v>
      </c>
      <c r="B13" s="12">
        <v>0.69569985569985582</v>
      </c>
      <c r="C13" s="11">
        <v>10.442</v>
      </c>
      <c r="D13" s="11">
        <v>0.17899999999999999</v>
      </c>
      <c r="E13" s="11">
        <v>0.47352595724688751</v>
      </c>
    </row>
    <row r="14" spans="1:5" x14ac:dyDescent="0.2">
      <c r="A14" s="10" t="s">
        <v>43</v>
      </c>
      <c r="B14" s="12">
        <v>0.66085671191553552</v>
      </c>
      <c r="C14" s="11">
        <v>11.389999999999999</v>
      </c>
      <c r="D14" s="11">
        <v>0.191</v>
      </c>
      <c r="E14" s="11">
        <v>0.48128873710269049</v>
      </c>
    </row>
    <row r="15" spans="1:5" x14ac:dyDescent="0.2">
      <c r="A15" s="10" t="s">
        <v>31</v>
      </c>
      <c r="B15" s="12">
        <v>0.67545720211161386</v>
      </c>
      <c r="C15" s="11">
        <v>13.945</v>
      </c>
      <c r="D15" s="11">
        <v>0.23174999999999998</v>
      </c>
      <c r="E15" s="11">
        <v>0.4842442763954391</v>
      </c>
    </row>
    <row r="16" spans="1:5" x14ac:dyDescent="0.2">
      <c r="A16" s="10" t="s">
        <v>18</v>
      </c>
      <c r="B16" s="12">
        <v>0.4996314925319098</v>
      </c>
      <c r="C16" s="11">
        <v>11.54</v>
      </c>
      <c r="D16" s="11">
        <v>0.17622222222222225</v>
      </c>
      <c r="E16" s="11">
        <v>0.51815059760796189</v>
      </c>
    </row>
    <row r="17" spans="1:5" x14ac:dyDescent="0.2">
      <c r="A17" s="10" t="s">
        <v>63</v>
      </c>
      <c r="B17" s="12">
        <v>0.52115106099406971</v>
      </c>
      <c r="C17" s="11">
        <v>9.7985074626865671</v>
      </c>
      <c r="D17" s="11">
        <v>0.17926865671641798</v>
      </c>
      <c r="E17" s="11">
        <v>0.45027774878521143</v>
      </c>
    </row>
    <row r="24" spans="1:5" x14ac:dyDescent="0.2">
      <c r="C24" t="s">
        <v>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44BE-FE66-CC48-A17F-11EC6A4FD09B}">
  <dimension ref="A1:L74"/>
  <sheetViews>
    <sheetView topLeftCell="B22" zoomScale="81" workbookViewId="0">
      <selection activeCell="H74" sqref="H74"/>
    </sheetView>
  </sheetViews>
  <sheetFormatPr baseColWidth="10" defaultRowHeight="16" x14ac:dyDescent="0.2"/>
  <cols>
    <col min="1" max="1" width="30.1640625" customWidth="1"/>
    <col min="2" max="2" width="38.6640625" customWidth="1"/>
    <col min="3" max="7" width="24.83203125" customWidth="1"/>
    <col min="8" max="8" width="16.6640625" style="5" bestFit="1" customWidth="1"/>
    <col min="9" max="9" width="20.1640625" style="5" customWidth="1"/>
    <col min="10" max="10" width="21.1640625" style="8" customWidth="1"/>
  </cols>
  <sheetData>
    <row r="1" spans="1:10" ht="22" x14ac:dyDescent="0.3">
      <c r="A1" s="1" t="s">
        <v>0</v>
      </c>
      <c r="B1" s="1" t="s">
        <v>1</v>
      </c>
      <c r="C1" s="1" t="s">
        <v>4</v>
      </c>
      <c r="D1" s="1" t="s">
        <v>5</v>
      </c>
      <c r="E1" s="1" t="s">
        <v>59</v>
      </c>
      <c r="F1" s="1" t="s">
        <v>60</v>
      </c>
      <c r="G1" s="1" t="s">
        <v>61</v>
      </c>
      <c r="H1" s="3" t="s">
        <v>2</v>
      </c>
      <c r="I1" s="3" t="s">
        <v>3</v>
      </c>
      <c r="J1" s="6" t="s">
        <v>58</v>
      </c>
    </row>
    <row r="2" spans="1:10" ht="22" x14ac:dyDescent="0.3">
      <c r="A2" s="2" t="s">
        <v>21</v>
      </c>
      <c r="B2" s="2" t="s">
        <v>22</v>
      </c>
      <c r="C2" s="2">
        <v>5.21</v>
      </c>
      <c r="D2" s="2">
        <v>0.23100000000000001</v>
      </c>
      <c r="E2" s="2">
        <f t="shared" ref="E2:E33" si="0">(C2 - MIN(C:C)) / (MAX(C:C) - MIN(C:C))</f>
        <v>0.1338971106412967</v>
      </c>
      <c r="F2" s="2">
        <f t="shared" ref="F2:F33" si="1">1 - ((D2 - MIN(D:D)) / (MAX(D:D) - MIN(D:D)))</f>
        <v>0.22222222222222221</v>
      </c>
      <c r="G2" s="2">
        <f>0.5 *E2+0.5*F2</f>
        <v>0.17805966643175947</v>
      </c>
      <c r="H2" s="4">
        <v>26</v>
      </c>
      <c r="I2" s="4">
        <v>14</v>
      </c>
      <c r="J2" s="7">
        <f t="shared" ref="J2:J33" si="2">I2/H2</f>
        <v>0.53846153846153844</v>
      </c>
    </row>
    <row r="3" spans="1:10" ht="22" x14ac:dyDescent="0.3">
      <c r="A3" s="2" t="s">
        <v>6</v>
      </c>
      <c r="B3" s="2" t="s">
        <v>34</v>
      </c>
      <c r="C3" s="2">
        <v>3.58</v>
      </c>
      <c r="D3" s="2">
        <v>0.19800000000000001</v>
      </c>
      <c r="E3" s="2">
        <f>(C3 - MIN(C:C)) / (MAX(C:C) - MIN(C:C))</f>
        <v>1.9027484143763214E-2</v>
      </c>
      <c r="F3" s="2">
        <f>1 - ((D3 - MIN(D:D)) / (MAX(D:D) - MIN(D:D)))</f>
        <v>0.36324786324786307</v>
      </c>
      <c r="G3" s="2">
        <f t="shared" ref="G2:G33" si="3">0.5 *E3+0.5*F3</f>
        <v>0.19113767369581314</v>
      </c>
      <c r="H3" s="4">
        <v>34</v>
      </c>
      <c r="I3" s="4">
        <v>12</v>
      </c>
      <c r="J3" s="7">
        <f t="shared" si="2"/>
        <v>0.35294117647058826</v>
      </c>
    </row>
    <row r="4" spans="1:10" ht="22" x14ac:dyDescent="0.3">
      <c r="A4" s="2" t="s">
        <v>21</v>
      </c>
      <c r="B4" s="2" t="s">
        <v>56</v>
      </c>
      <c r="C4" s="2">
        <v>5.07</v>
      </c>
      <c r="D4" s="2">
        <v>0.215</v>
      </c>
      <c r="E4" s="2">
        <f t="shared" si="0"/>
        <v>0.12403100775193801</v>
      </c>
      <c r="F4" s="2">
        <f t="shared" si="1"/>
        <v>0.29059829059829068</v>
      </c>
      <c r="G4" s="2">
        <f t="shared" si="3"/>
        <v>0.20731464917511433</v>
      </c>
      <c r="H4" s="4">
        <v>36</v>
      </c>
      <c r="I4" s="4">
        <v>16</v>
      </c>
      <c r="J4" s="7">
        <f t="shared" si="2"/>
        <v>0.44444444444444442</v>
      </c>
    </row>
    <row r="5" spans="1:10" ht="22" x14ac:dyDescent="0.3">
      <c r="A5" s="2" t="s">
        <v>12</v>
      </c>
      <c r="B5" s="2" t="s">
        <v>13</v>
      </c>
      <c r="C5" s="2">
        <v>8.3800000000000008</v>
      </c>
      <c r="D5" s="2">
        <v>0.25</v>
      </c>
      <c r="E5" s="2">
        <f t="shared" si="0"/>
        <v>0.35729386892177595</v>
      </c>
      <c r="F5" s="2">
        <f t="shared" si="1"/>
        <v>0.14102564102564097</v>
      </c>
      <c r="G5" s="2">
        <f t="shared" si="3"/>
        <v>0.24915975497370846</v>
      </c>
      <c r="H5" s="4">
        <v>47</v>
      </c>
      <c r="I5" s="4">
        <v>20</v>
      </c>
      <c r="J5" s="7">
        <f t="shared" si="2"/>
        <v>0.42553191489361702</v>
      </c>
    </row>
    <row r="6" spans="1:10" ht="22" x14ac:dyDescent="0.3">
      <c r="A6" s="2" t="s">
        <v>43</v>
      </c>
      <c r="B6" s="2" t="s">
        <v>9</v>
      </c>
      <c r="C6" s="2">
        <v>5.5</v>
      </c>
      <c r="D6" s="2">
        <v>0.19900000000000001</v>
      </c>
      <c r="E6" s="2">
        <f t="shared" si="0"/>
        <v>0.15433403805496829</v>
      </c>
      <c r="F6" s="2">
        <f t="shared" si="1"/>
        <v>0.35897435897435881</v>
      </c>
      <c r="G6" s="2">
        <f t="shared" si="3"/>
        <v>0.25665419851466353</v>
      </c>
      <c r="H6" s="4">
        <v>6</v>
      </c>
      <c r="I6" s="4">
        <v>5</v>
      </c>
      <c r="J6" s="7">
        <f t="shared" si="2"/>
        <v>0.83333333333333337</v>
      </c>
    </row>
    <row r="7" spans="1:10" ht="22" x14ac:dyDescent="0.3">
      <c r="A7" s="2" t="s">
        <v>35</v>
      </c>
      <c r="B7" s="2" t="s">
        <v>32</v>
      </c>
      <c r="C7" s="2">
        <v>11.25</v>
      </c>
      <c r="D7" s="2">
        <v>0.28299999999999997</v>
      </c>
      <c r="E7" s="2">
        <f t="shared" si="0"/>
        <v>0.55954897815362925</v>
      </c>
      <c r="F7" s="2">
        <f t="shared" si="1"/>
        <v>0</v>
      </c>
      <c r="G7" s="2">
        <f t="shared" si="3"/>
        <v>0.27977448907681463</v>
      </c>
      <c r="H7" s="4">
        <v>13</v>
      </c>
      <c r="I7" s="4">
        <v>9</v>
      </c>
      <c r="J7" s="7">
        <f t="shared" si="2"/>
        <v>0.69230769230769229</v>
      </c>
    </row>
    <row r="8" spans="1:10" ht="22" x14ac:dyDescent="0.3">
      <c r="A8" s="2" t="s">
        <v>8</v>
      </c>
      <c r="B8" s="2" t="s">
        <v>9</v>
      </c>
      <c r="C8" s="2">
        <v>7.5</v>
      </c>
      <c r="D8" s="2">
        <v>0.221</v>
      </c>
      <c r="E8" s="2">
        <f t="shared" si="0"/>
        <v>0.2952783650458069</v>
      </c>
      <c r="F8" s="2">
        <f t="shared" si="1"/>
        <v>0.26495726495726502</v>
      </c>
      <c r="G8" s="2">
        <f t="shared" si="3"/>
        <v>0.28011781500153599</v>
      </c>
      <c r="H8" s="4">
        <v>6</v>
      </c>
      <c r="I8" s="4">
        <v>6</v>
      </c>
      <c r="J8" s="7">
        <f t="shared" si="2"/>
        <v>1</v>
      </c>
    </row>
    <row r="9" spans="1:10" ht="22" x14ac:dyDescent="0.3">
      <c r="A9" s="2" t="s">
        <v>15</v>
      </c>
      <c r="B9" s="2" t="s">
        <v>37</v>
      </c>
      <c r="C9" s="2">
        <v>7.08</v>
      </c>
      <c r="D9" s="2">
        <v>0.214</v>
      </c>
      <c r="E9" s="2">
        <f t="shared" si="0"/>
        <v>0.26568005637773079</v>
      </c>
      <c r="F9" s="2">
        <f t="shared" si="1"/>
        <v>0.29487179487179493</v>
      </c>
      <c r="G9" s="2">
        <f t="shared" si="3"/>
        <v>0.28027592562476289</v>
      </c>
      <c r="H9" s="4">
        <v>30</v>
      </c>
      <c r="I9" s="4">
        <v>13</v>
      </c>
      <c r="J9" s="7">
        <f t="shared" si="2"/>
        <v>0.43333333333333335</v>
      </c>
    </row>
    <row r="10" spans="1:10" ht="22" x14ac:dyDescent="0.3">
      <c r="A10" s="2" t="s">
        <v>31</v>
      </c>
      <c r="B10" s="2" t="s">
        <v>32</v>
      </c>
      <c r="C10" s="2">
        <v>11.5</v>
      </c>
      <c r="D10" s="2">
        <v>0.28100000000000003</v>
      </c>
      <c r="E10" s="2">
        <f t="shared" si="0"/>
        <v>0.57716701902748413</v>
      </c>
      <c r="F10" s="2">
        <f t="shared" si="1"/>
        <v>8.5470085470082946E-3</v>
      </c>
      <c r="G10" s="2">
        <f t="shared" si="3"/>
        <v>0.29285701378724621</v>
      </c>
      <c r="H10" s="4">
        <v>13</v>
      </c>
      <c r="I10" s="4">
        <v>10</v>
      </c>
      <c r="J10" s="7">
        <f t="shared" si="2"/>
        <v>0.76923076923076927</v>
      </c>
    </row>
    <row r="11" spans="1:10" ht="22" x14ac:dyDescent="0.3">
      <c r="A11" s="2" t="s">
        <v>28</v>
      </c>
      <c r="B11" s="2" t="s">
        <v>29</v>
      </c>
      <c r="C11" s="2">
        <v>6.76</v>
      </c>
      <c r="D11" s="2">
        <v>0.20100000000000001</v>
      </c>
      <c r="E11" s="2">
        <f t="shared" si="0"/>
        <v>0.2431289640591966</v>
      </c>
      <c r="F11" s="2">
        <f t="shared" si="1"/>
        <v>0.35042735042735029</v>
      </c>
      <c r="G11" s="2">
        <f t="shared" si="3"/>
        <v>0.29677815724327344</v>
      </c>
      <c r="H11" s="4">
        <v>57</v>
      </c>
      <c r="I11" s="4">
        <v>29</v>
      </c>
      <c r="J11" s="7">
        <f t="shared" si="2"/>
        <v>0.50877192982456143</v>
      </c>
    </row>
    <row r="12" spans="1:10" ht="22" x14ac:dyDescent="0.3">
      <c r="A12" s="2" t="s">
        <v>15</v>
      </c>
      <c r="B12" s="2" t="s">
        <v>16</v>
      </c>
      <c r="C12" s="2">
        <v>8.82</v>
      </c>
      <c r="D12" s="2">
        <v>0.22900000000000001</v>
      </c>
      <c r="E12" s="2">
        <f t="shared" si="0"/>
        <v>0.38830162085976039</v>
      </c>
      <c r="F12" s="2">
        <f t="shared" si="1"/>
        <v>0.23076923076923073</v>
      </c>
      <c r="G12" s="2">
        <f t="shared" si="3"/>
        <v>0.30953542581449556</v>
      </c>
      <c r="H12" s="4">
        <v>61</v>
      </c>
      <c r="I12" s="4">
        <v>23</v>
      </c>
      <c r="J12" s="7">
        <f t="shared" si="2"/>
        <v>0.37704918032786883</v>
      </c>
    </row>
    <row r="13" spans="1:10" ht="22" x14ac:dyDescent="0.3">
      <c r="A13" s="2" t="s">
        <v>21</v>
      </c>
      <c r="B13" s="2" t="s">
        <v>36</v>
      </c>
      <c r="C13" s="2">
        <v>5.08</v>
      </c>
      <c r="D13" s="2">
        <v>0.16</v>
      </c>
      <c r="E13" s="2">
        <f t="shared" si="0"/>
        <v>0.12473572938689219</v>
      </c>
      <c r="F13" s="2">
        <f t="shared" si="1"/>
        <v>0.52564102564102555</v>
      </c>
      <c r="G13" s="2">
        <f t="shared" si="3"/>
        <v>0.32518837751395885</v>
      </c>
      <c r="H13" s="4">
        <v>34</v>
      </c>
      <c r="I13" s="4">
        <v>16</v>
      </c>
      <c r="J13" s="7">
        <f t="shared" si="2"/>
        <v>0.47058823529411764</v>
      </c>
    </row>
    <row r="14" spans="1:10" ht="22" x14ac:dyDescent="0.3">
      <c r="A14" s="2" t="s">
        <v>12</v>
      </c>
      <c r="B14" s="2" t="s">
        <v>38</v>
      </c>
      <c r="C14" s="2">
        <v>6.94</v>
      </c>
      <c r="D14" s="2">
        <v>0.186</v>
      </c>
      <c r="E14" s="2">
        <f t="shared" si="0"/>
        <v>0.2558139534883721</v>
      </c>
      <c r="F14" s="2">
        <f t="shared" si="1"/>
        <v>0.4145299145299145</v>
      </c>
      <c r="G14" s="2">
        <f t="shared" si="3"/>
        <v>0.3351719340091433</v>
      </c>
      <c r="H14" s="4">
        <v>89</v>
      </c>
      <c r="I14" s="4">
        <v>32</v>
      </c>
      <c r="J14" s="7">
        <f t="shared" si="2"/>
        <v>0.3595505617977528</v>
      </c>
    </row>
    <row r="15" spans="1:10" ht="22" x14ac:dyDescent="0.3">
      <c r="A15" s="2" t="s">
        <v>12</v>
      </c>
      <c r="B15" s="2" t="s">
        <v>14</v>
      </c>
      <c r="C15" s="2">
        <v>10</v>
      </c>
      <c r="D15" s="2">
        <v>0.23499999999999999</v>
      </c>
      <c r="E15" s="2">
        <f t="shared" si="0"/>
        <v>0.47145877378435513</v>
      </c>
      <c r="F15" s="2">
        <f t="shared" si="1"/>
        <v>0.20512820512820507</v>
      </c>
      <c r="G15" s="2">
        <f t="shared" si="3"/>
        <v>0.33829348945628013</v>
      </c>
      <c r="H15" s="4">
        <v>59</v>
      </c>
      <c r="I15" s="4">
        <v>21</v>
      </c>
      <c r="J15" s="7">
        <f t="shared" si="2"/>
        <v>0.3559322033898305</v>
      </c>
    </row>
    <row r="16" spans="1:10" ht="22" x14ac:dyDescent="0.3">
      <c r="A16" s="2" t="s">
        <v>21</v>
      </c>
      <c r="B16" s="2" t="s">
        <v>27</v>
      </c>
      <c r="C16" s="2">
        <v>3.31</v>
      </c>
      <c r="D16" s="2">
        <v>0.121</v>
      </c>
      <c r="E16" s="2">
        <f t="shared" si="0"/>
        <v>0</v>
      </c>
      <c r="F16" s="2">
        <f t="shared" si="1"/>
        <v>0.69230769230769229</v>
      </c>
      <c r="G16" s="2">
        <f t="shared" si="3"/>
        <v>0.34615384615384615</v>
      </c>
      <c r="H16" s="4">
        <v>34</v>
      </c>
      <c r="I16" s="4">
        <v>16</v>
      </c>
      <c r="J16" s="7">
        <f t="shared" si="2"/>
        <v>0.47058823529411764</v>
      </c>
    </row>
    <row r="17" spans="1:10" ht="22" x14ac:dyDescent="0.3">
      <c r="A17" s="2" t="s">
        <v>12</v>
      </c>
      <c r="B17" s="2" t="s">
        <v>38</v>
      </c>
      <c r="C17" s="2">
        <v>8.75</v>
      </c>
      <c r="D17" s="2">
        <v>0.21</v>
      </c>
      <c r="E17" s="2">
        <f t="shared" si="0"/>
        <v>0.38336856941508102</v>
      </c>
      <c r="F17" s="2">
        <f t="shared" si="1"/>
        <v>0.31196581196581208</v>
      </c>
      <c r="G17" s="2">
        <f t="shared" si="3"/>
        <v>0.34766719069044655</v>
      </c>
      <c r="H17" s="4">
        <v>67</v>
      </c>
      <c r="I17" s="4">
        <v>20</v>
      </c>
      <c r="J17" s="7">
        <f t="shared" si="2"/>
        <v>0.29850746268656714</v>
      </c>
    </row>
    <row r="18" spans="1:10" ht="22" x14ac:dyDescent="0.3">
      <c r="A18" s="2" t="s">
        <v>15</v>
      </c>
      <c r="B18" s="2" t="s">
        <v>17</v>
      </c>
      <c r="C18" s="2">
        <v>8.8800000000000008</v>
      </c>
      <c r="D18" s="2">
        <v>0.20499999999999999</v>
      </c>
      <c r="E18" s="2">
        <f t="shared" si="0"/>
        <v>0.39252995066948559</v>
      </c>
      <c r="F18" s="2">
        <f t="shared" si="1"/>
        <v>0.33333333333333337</v>
      </c>
      <c r="G18" s="2">
        <f t="shared" si="3"/>
        <v>0.36293164200140948</v>
      </c>
      <c r="H18" s="4">
        <v>80</v>
      </c>
      <c r="I18" s="4">
        <v>32</v>
      </c>
      <c r="J18" s="7">
        <f t="shared" si="2"/>
        <v>0.4</v>
      </c>
    </row>
    <row r="19" spans="1:10" ht="22" x14ac:dyDescent="0.3">
      <c r="A19" s="2" t="s">
        <v>35</v>
      </c>
      <c r="B19" s="2" t="s">
        <v>32</v>
      </c>
      <c r="C19" s="2">
        <v>10.71</v>
      </c>
      <c r="D19" s="2">
        <v>0.23300000000000001</v>
      </c>
      <c r="E19" s="2">
        <f t="shared" si="0"/>
        <v>0.52149400986610295</v>
      </c>
      <c r="F19" s="2">
        <f t="shared" si="1"/>
        <v>0.21367521367521369</v>
      </c>
      <c r="G19" s="2">
        <f t="shared" si="3"/>
        <v>0.36758461177065832</v>
      </c>
      <c r="H19" s="4">
        <v>18</v>
      </c>
      <c r="I19" s="4">
        <v>14</v>
      </c>
      <c r="J19" s="7">
        <f t="shared" si="2"/>
        <v>0.77777777777777779</v>
      </c>
    </row>
    <row r="20" spans="1:10" ht="22" x14ac:dyDescent="0.3">
      <c r="A20" s="2" t="s">
        <v>21</v>
      </c>
      <c r="B20" s="2" t="s">
        <v>48</v>
      </c>
      <c r="C20" s="2">
        <v>6.86</v>
      </c>
      <c r="D20" s="2">
        <v>0.16900000000000001</v>
      </c>
      <c r="E20" s="2">
        <f t="shared" si="0"/>
        <v>0.25017618040873857</v>
      </c>
      <c r="F20" s="2">
        <f t="shared" si="1"/>
        <v>0.48717948717948711</v>
      </c>
      <c r="G20" s="2">
        <f t="shared" si="3"/>
        <v>0.36867783379411284</v>
      </c>
      <c r="H20" s="4">
        <v>33</v>
      </c>
      <c r="I20" s="4">
        <v>18</v>
      </c>
      <c r="J20" s="7">
        <f t="shared" si="2"/>
        <v>0.54545454545454541</v>
      </c>
    </row>
    <row r="21" spans="1:10" ht="22" x14ac:dyDescent="0.3">
      <c r="A21" s="2" t="s">
        <v>10</v>
      </c>
      <c r="B21" s="2" t="s">
        <v>39</v>
      </c>
      <c r="C21" s="2">
        <v>7.78</v>
      </c>
      <c r="D21" s="2">
        <v>0.182</v>
      </c>
      <c r="E21" s="2">
        <f t="shared" si="0"/>
        <v>0.31501057082452438</v>
      </c>
      <c r="F21" s="2">
        <f t="shared" si="1"/>
        <v>0.43162393162393153</v>
      </c>
      <c r="G21" s="2">
        <f t="shared" si="3"/>
        <v>0.37331725122422799</v>
      </c>
      <c r="H21" s="4">
        <v>57</v>
      </c>
      <c r="I21" s="4">
        <v>22</v>
      </c>
      <c r="J21" s="7">
        <f t="shared" si="2"/>
        <v>0.38596491228070173</v>
      </c>
    </row>
    <row r="22" spans="1:10" ht="22" x14ac:dyDescent="0.3">
      <c r="A22" s="2" t="s">
        <v>18</v>
      </c>
      <c r="B22" s="2" t="s">
        <v>11</v>
      </c>
      <c r="C22" s="2">
        <v>7.73</v>
      </c>
      <c r="D22" s="2">
        <v>0.18</v>
      </c>
      <c r="E22" s="2">
        <f t="shared" si="0"/>
        <v>0.31148696264975334</v>
      </c>
      <c r="F22" s="2">
        <f t="shared" si="1"/>
        <v>0.44017094017094016</v>
      </c>
      <c r="G22" s="2">
        <f t="shared" si="3"/>
        <v>0.37582895141034678</v>
      </c>
      <c r="H22" s="4">
        <v>55</v>
      </c>
      <c r="I22" s="4">
        <v>24</v>
      </c>
      <c r="J22" s="7">
        <f t="shared" si="2"/>
        <v>0.43636363636363634</v>
      </c>
    </row>
    <row r="23" spans="1:10" ht="22" x14ac:dyDescent="0.3">
      <c r="A23" s="2" t="s">
        <v>55</v>
      </c>
      <c r="B23" s="2" t="s">
        <v>56</v>
      </c>
      <c r="C23" s="2">
        <v>5.12</v>
      </c>
      <c r="D23" s="2">
        <v>0.13400000000000001</v>
      </c>
      <c r="E23" s="2">
        <f t="shared" si="0"/>
        <v>0.12755461592670897</v>
      </c>
      <c r="F23" s="2">
        <f t="shared" si="1"/>
        <v>0.63675213675213671</v>
      </c>
      <c r="G23" s="2">
        <f t="shared" si="3"/>
        <v>0.38215337633942281</v>
      </c>
      <c r="H23" s="4">
        <v>28</v>
      </c>
      <c r="I23" s="4">
        <v>13</v>
      </c>
      <c r="J23" s="7">
        <f t="shared" si="2"/>
        <v>0.4642857142857143</v>
      </c>
    </row>
    <row r="24" spans="1:10" ht="22" x14ac:dyDescent="0.3">
      <c r="A24" s="2" t="s">
        <v>12</v>
      </c>
      <c r="B24" s="2" t="s">
        <v>14</v>
      </c>
      <c r="C24" s="2">
        <v>7.92</v>
      </c>
      <c r="D24" s="2">
        <v>0.17799999999999999</v>
      </c>
      <c r="E24" s="2">
        <f t="shared" si="0"/>
        <v>0.32487667371388301</v>
      </c>
      <c r="F24" s="2">
        <f t="shared" si="1"/>
        <v>0.44871794871794868</v>
      </c>
      <c r="G24" s="2">
        <f t="shared" si="3"/>
        <v>0.38679731121591587</v>
      </c>
      <c r="H24" s="4">
        <v>66</v>
      </c>
      <c r="I24" s="4">
        <v>27</v>
      </c>
      <c r="J24" s="7">
        <f t="shared" si="2"/>
        <v>0.40909090909090912</v>
      </c>
    </row>
    <row r="25" spans="1:10" ht="22" x14ac:dyDescent="0.3">
      <c r="A25" s="2" t="s">
        <v>12</v>
      </c>
      <c r="B25" s="2" t="s">
        <v>41</v>
      </c>
      <c r="C25" s="2">
        <v>8.8000000000000007</v>
      </c>
      <c r="D25" s="2">
        <v>0.188</v>
      </c>
      <c r="E25" s="2">
        <f t="shared" si="0"/>
        <v>0.38689217758985206</v>
      </c>
      <c r="F25" s="2">
        <f t="shared" si="1"/>
        <v>0.40598290598290587</v>
      </c>
      <c r="G25" s="2">
        <f t="shared" si="3"/>
        <v>0.39643754178637897</v>
      </c>
      <c r="H25" s="4">
        <v>71</v>
      </c>
      <c r="I25" s="4">
        <v>26</v>
      </c>
      <c r="J25" s="7">
        <f t="shared" si="2"/>
        <v>0.36619718309859156</v>
      </c>
    </row>
    <row r="26" spans="1:10" ht="22" x14ac:dyDescent="0.3">
      <c r="A26" s="2" t="s">
        <v>52</v>
      </c>
      <c r="B26" s="2" t="s">
        <v>53</v>
      </c>
      <c r="C26" s="2">
        <v>5.8</v>
      </c>
      <c r="D26" s="2">
        <v>0.13600000000000001</v>
      </c>
      <c r="E26" s="2">
        <f t="shared" si="0"/>
        <v>0.17547568710359407</v>
      </c>
      <c r="F26" s="2">
        <f t="shared" si="1"/>
        <v>0.62820512820512819</v>
      </c>
      <c r="G26" s="2">
        <f t="shared" si="3"/>
        <v>0.40184040765436113</v>
      </c>
      <c r="H26" s="4">
        <v>35</v>
      </c>
      <c r="I26" s="4">
        <v>15</v>
      </c>
      <c r="J26" s="7">
        <f t="shared" si="2"/>
        <v>0.42857142857142855</v>
      </c>
    </row>
    <row r="27" spans="1:10" ht="22" x14ac:dyDescent="0.3">
      <c r="A27" s="2" t="s">
        <v>10</v>
      </c>
      <c r="B27" s="2" t="s">
        <v>25</v>
      </c>
      <c r="C27" s="2">
        <v>10.96</v>
      </c>
      <c r="D27" s="2">
        <v>0.217</v>
      </c>
      <c r="E27" s="2">
        <f t="shared" si="0"/>
        <v>0.53911205073995772</v>
      </c>
      <c r="F27" s="2">
        <f t="shared" si="1"/>
        <v>0.28205128205128205</v>
      </c>
      <c r="G27" s="2">
        <f t="shared" si="3"/>
        <v>0.41058166639561988</v>
      </c>
      <c r="H27" s="4">
        <v>68</v>
      </c>
      <c r="I27" s="4">
        <v>32</v>
      </c>
      <c r="J27" s="7">
        <f t="shared" si="2"/>
        <v>0.47058823529411764</v>
      </c>
    </row>
    <row r="28" spans="1:10" ht="22" x14ac:dyDescent="0.3">
      <c r="A28" s="2" t="s">
        <v>10</v>
      </c>
      <c r="B28" s="2" t="s">
        <v>11</v>
      </c>
      <c r="C28" s="2">
        <v>8.75</v>
      </c>
      <c r="D28" s="2">
        <v>0.17899999999999999</v>
      </c>
      <c r="E28" s="2">
        <f t="shared" si="0"/>
        <v>0.38336856941508102</v>
      </c>
      <c r="F28" s="2">
        <f t="shared" si="1"/>
        <v>0.44444444444444442</v>
      </c>
      <c r="G28" s="2">
        <f t="shared" si="3"/>
        <v>0.41390650692976272</v>
      </c>
      <c r="H28" s="4">
        <v>37</v>
      </c>
      <c r="I28" s="4">
        <v>16</v>
      </c>
      <c r="J28" s="7">
        <f t="shared" si="2"/>
        <v>0.43243243243243246</v>
      </c>
    </row>
    <row r="29" spans="1:10" ht="22" x14ac:dyDescent="0.3">
      <c r="A29" s="2" t="s">
        <v>15</v>
      </c>
      <c r="B29" s="2" t="s">
        <v>20</v>
      </c>
      <c r="C29" s="2">
        <v>8.3800000000000008</v>
      </c>
      <c r="D29" s="2">
        <v>0.17100000000000001</v>
      </c>
      <c r="E29" s="2">
        <f t="shared" si="0"/>
        <v>0.35729386892177595</v>
      </c>
      <c r="F29" s="2">
        <f t="shared" si="1"/>
        <v>0.4786324786324786</v>
      </c>
      <c r="G29" s="2">
        <f t="shared" si="3"/>
        <v>0.41796317377712727</v>
      </c>
      <c r="H29" s="4">
        <v>87</v>
      </c>
      <c r="I29" s="4">
        <v>45</v>
      </c>
      <c r="J29" s="7">
        <f t="shared" si="2"/>
        <v>0.51724137931034486</v>
      </c>
    </row>
    <row r="30" spans="1:10" ht="22" x14ac:dyDescent="0.3">
      <c r="A30" s="2" t="s">
        <v>10</v>
      </c>
      <c r="B30" s="2" t="s">
        <v>33</v>
      </c>
      <c r="C30" s="2">
        <v>11.5</v>
      </c>
      <c r="D30" s="2">
        <v>0.221</v>
      </c>
      <c r="E30" s="2">
        <f t="shared" si="0"/>
        <v>0.57716701902748413</v>
      </c>
      <c r="F30" s="2">
        <f t="shared" si="1"/>
        <v>0.26495726495726502</v>
      </c>
      <c r="G30" s="2">
        <f t="shared" si="3"/>
        <v>0.42106214199237457</v>
      </c>
      <c r="H30" s="4">
        <v>70</v>
      </c>
      <c r="I30" s="4">
        <v>30</v>
      </c>
      <c r="J30" s="7">
        <f t="shared" si="2"/>
        <v>0.42857142857142855</v>
      </c>
    </row>
    <row r="31" spans="1:10" ht="22" x14ac:dyDescent="0.3">
      <c r="A31" s="2" t="s">
        <v>43</v>
      </c>
      <c r="B31" s="2" t="s">
        <v>42</v>
      </c>
      <c r="C31" s="2">
        <v>13.06</v>
      </c>
      <c r="D31" s="2">
        <v>0.24299999999999999</v>
      </c>
      <c r="E31" s="2">
        <f t="shared" si="0"/>
        <v>0.68710359408033828</v>
      </c>
      <c r="F31" s="2">
        <f t="shared" si="1"/>
        <v>0.17094017094017089</v>
      </c>
      <c r="G31" s="2">
        <f t="shared" si="3"/>
        <v>0.42902188251025458</v>
      </c>
      <c r="H31" s="4">
        <v>25</v>
      </c>
      <c r="I31" s="4">
        <v>18</v>
      </c>
      <c r="J31" s="7">
        <f t="shared" si="2"/>
        <v>0.72</v>
      </c>
    </row>
    <row r="32" spans="1:10" ht="22" x14ac:dyDescent="0.3">
      <c r="A32" s="2" t="s">
        <v>18</v>
      </c>
      <c r="B32" s="2" t="s">
        <v>19</v>
      </c>
      <c r="C32" s="2">
        <v>12.71</v>
      </c>
      <c r="D32" s="2">
        <v>0.23499999999999999</v>
      </c>
      <c r="E32" s="2">
        <f t="shared" si="0"/>
        <v>0.66243833685694153</v>
      </c>
      <c r="F32" s="2">
        <f t="shared" si="1"/>
        <v>0.20512820512820507</v>
      </c>
      <c r="G32" s="2">
        <f t="shared" si="3"/>
        <v>0.4337832709925733</v>
      </c>
      <c r="H32" s="4">
        <v>66</v>
      </c>
      <c r="I32" s="4">
        <v>31</v>
      </c>
      <c r="J32" s="7">
        <f t="shared" si="2"/>
        <v>0.46969696969696972</v>
      </c>
    </row>
    <row r="33" spans="1:10" ht="22" x14ac:dyDescent="0.3">
      <c r="A33" s="2" t="s">
        <v>10</v>
      </c>
      <c r="B33" s="2" t="s">
        <v>57</v>
      </c>
      <c r="C33" s="2">
        <v>10.39</v>
      </c>
      <c r="D33" s="2">
        <v>0.19600000000000001</v>
      </c>
      <c r="E33" s="2">
        <f t="shared" si="0"/>
        <v>0.49894291754756875</v>
      </c>
      <c r="F33" s="2">
        <f t="shared" si="1"/>
        <v>0.3717948717948717</v>
      </c>
      <c r="G33" s="2">
        <f t="shared" si="3"/>
        <v>0.4353688946712202</v>
      </c>
      <c r="H33" s="4">
        <v>57</v>
      </c>
      <c r="I33" s="4">
        <v>21</v>
      </c>
      <c r="J33" s="7">
        <f t="shared" si="2"/>
        <v>0.36842105263157893</v>
      </c>
    </row>
    <row r="34" spans="1:10" ht="22" x14ac:dyDescent="0.3">
      <c r="A34" s="2" t="s">
        <v>10</v>
      </c>
      <c r="B34" s="2" t="s">
        <v>26</v>
      </c>
      <c r="C34" s="2">
        <v>8.7100000000000009</v>
      </c>
      <c r="D34" s="2">
        <v>0.16600000000000001</v>
      </c>
      <c r="E34" s="2">
        <f t="shared" ref="E34:E68" si="4">(C34 - MIN(C:C)) / (MAX(C:C) - MIN(C:C))</f>
        <v>0.38054968287526431</v>
      </c>
      <c r="F34" s="2">
        <f t="shared" ref="F34:F68" si="5">1 - ((D34 - MIN(D:D)) / (MAX(D:D) - MIN(D:D)))</f>
        <v>0.49999999999999989</v>
      </c>
      <c r="G34" s="2">
        <f t="shared" ref="G34:G65" si="6">0.5 *E34+0.5*F34</f>
        <v>0.44027484143763207</v>
      </c>
      <c r="H34" s="4">
        <v>59</v>
      </c>
      <c r="I34" s="4">
        <v>32</v>
      </c>
      <c r="J34" s="7">
        <f t="shared" ref="J34:J65" si="7">I34/H34</f>
        <v>0.5423728813559322</v>
      </c>
    </row>
    <row r="35" spans="1:10" ht="22" x14ac:dyDescent="0.3">
      <c r="A35" s="2" t="s">
        <v>10</v>
      </c>
      <c r="B35" s="2" t="s">
        <v>51</v>
      </c>
      <c r="C35" s="2">
        <v>13.5</v>
      </c>
      <c r="D35" s="2">
        <v>0.24099999999999999</v>
      </c>
      <c r="E35" s="2">
        <f t="shared" si="4"/>
        <v>0.71811134601832272</v>
      </c>
      <c r="F35" s="2">
        <f t="shared" si="5"/>
        <v>0.1794871794871794</v>
      </c>
      <c r="G35" s="2">
        <f t="shared" si="6"/>
        <v>0.44879926275275106</v>
      </c>
      <c r="H35" s="4">
        <v>55</v>
      </c>
      <c r="I35" s="4">
        <v>25</v>
      </c>
      <c r="J35" s="7">
        <f t="shared" si="7"/>
        <v>0.45454545454545453</v>
      </c>
    </row>
    <row r="36" spans="1:10" ht="22" x14ac:dyDescent="0.3">
      <c r="A36" s="2" t="s">
        <v>43</v>
      </c>
      <c r="B36" s="2" t="s">
        <v>46</v>
      </c>
      <c r="C36" s="2">
        <v>10.62</v>
      </c>
      <c r="D36" s="2">
        <v>0.188</v>
      </c>
      <c r="E36" s="2">
        <f t="shared" si="4"/>
        <v>0.51515151515151503</v>
      </c>
      <c r="F36" s="2">
        <f t="shared" si="5"/>
        <v>0.40598290598290587</v>
      </c>
      <c r="G36" s="2">
        <f t="shared" si="6"/>
        <v>0.46056721056721045</v>
      </c>
      <c r="H36" s="4">
        <v>17</v>
      </c>
      <c r="I36" s="4">
        <v>9</v>
      </c>
      <c r="J36" s="7">
        <f t="shared" si="7"/>
        <v>0.52941176470588236</v>
      </c>
    </row>
    <row r="37" spans="1:10" ht="22" x14ac:dyDescent="0.3">
      <c r="A37" s="2" t="s">
        <v>52</v>
      </c>
      <c r="B37" s="2" t="s">
        <v>48</v>
      </c>
      <c r="C37" s="2">
        <v>4.72</v>
      </c>
      <c r="D37" s="2">
        <v>0.09</v>
      </c>
      <c r="E37" s="2">
        <f t="shared" si="4"/>
        <v>9.9365750528541213E-2</v>
      </c>
      <c r="F37" s="2">
        <f t="shared" si="5"/>
        <v>0.82478632478632474</v>
      </c>
      <c r="G37" s="2">
        <f t="shared" si="6"/>
        <v>0.46207603765743299</v>
      </c>
      <c r="H37" s="4">
        <v>24</v>
      </c>
      <c r="I37" s="4">
        <v>17</v>
      </c>
      <c r="J37" s="7">
        <f t="shared" si="7"/>
        <v>0.70833333333333337</v>
      </c>
    </row>
    <row r="38" spans="1:10" ht="22" x14ac:dyDescent="0.3">
      <c r="A38" s="2" t="s">
        <v>18</v>
      </c>
      <c r="B38" s="2" t="s">
        <v>40</v>
      </c>
      <c r="C38" s="2">
        <v>13.27</v>
      </c>
      <c r="D38" s="2">
        <v>0.23</v>
      </c>
      <c r="E38" s="2">
        <f t="shared" si="4"/>
        <v>0.70190274841437628</v>
      </c>
      <c r="F38" s="2">
        <f t="shared" si="5"/>
        <v>0.22649572649572647</v>
      </c>
      <c r="G38" s="2">
        <f t="shared" si="6"/>
        <v>0.46419923745505137</v>
      </c>
      <c r="H38" s="4">
        <v>51</v>
      </c>
      <c r="I38" s="4">
        <v>17</v>
      </c>
      <c r="J38" s="7">
        <f t="shared" si="7"/>
        <v>0.33333333333333331</v>
      </c>
    </row>
    <row r="39" spans="1:10" ht="22" x14ac:dyDescent="0.3">
      <c r="A39" s="2" t="s">
        <v>10</v>
      </c>
      <c r="B39" s="2" t="s">
        <v>11</v>
      </c>
      <c r="C39" s="2">
        <v>9.7200000000000006</v>
      </c>
      <c r="D39" s="2">
        <v>0.17</v>
      </c>
      <c r="E39" s="2">
        <f t="shared" si="4"/>
        <v>0.45172656800563782</v>
      </c>
      <c r="F39" s="2">
        <f t="shared" si="5"/>
        <v>0.48290598290598286</v>
      </c>
      <c r="G39" s="2">
        <f t="shared" si="6"/>
        <v>0.46731627545581034</v>
      </c>
      <c r="H39" s="4">
        <v>49</v>
      </c>
      <c r="I39" s="4">
        <v>21</v>
      </c>
      <c r="J39" s="7">
        <f t="shared" si="7"/>
        <v>0.42857142857142855</v>
      </c>
    </row>
    <row r="40" spans="1:10" ht="22" x14ac:dyDescent="0.3">
      <c r="A40" s="2" t="s">
        <v>31</v>
      </c>
      <c r="B40" s="2" t="s">
        <v>32</v>
      </c>
      <c r="C40" s="2">
        <v>13.57</v>
      </c>
      <c r="D40" s="2">
        <v>0.23300000000000001</v>
      </c>
      <c r="E40" s="2">
        <f t="shared" si="4"/>
        <v>0.72304439746300209</v>
      </c>
      <c r="F40" s="2">
        <f t="shared" si="5"/>
        <v>0.21367521367521369</v>
      </c>
      <c r="G40" s="2">
        <f t="shared" si="6"/>
        <v>0.46835980556910789</v>
      </c>
      <c r="H40" s="4">
        <v>16</v>
      </c>
      <c r="I40" s="4">
        <v>15</v>
      </c>
      <c r="J40" s="7">
        <f t="shared" si="7"/>
        <v>0.9375</v>
      </c>
    </row>
    <row r="41" spans="1:10" ht="22" x14ac:dyDescent="0.3">
      <c r="A41" s="2" t="s">
        <v>12</v>
      </c>
      <c r="B41" s="2" t="s">
        <v>41</v>
      </c>
      <c r="C41" s="2">
        <v>8.33</v>
      </c>
      <c r="D41" s="2">
        <v>0.14299999999999999</v>
      </c>
      <c r="E41" s="2">
        <f t="shared" si="4"/>
        <v>0.35377026074700491</v>
      </c>
      <c r="F41" s="2">
        <f t="shared" si="5"/>
        <v>0.59829059829059839</v>
      </c>
      <c r="G41" s="2">
        <f t="shared" si="6"/>
        <v>0.47603042951880165</v>
      </c>
      <c r="H41" s="4">
        <v>73</v>
      </c>
      <c r="I41" s="4">
        <v>27</v>
      </c>
      <c r="J41" s="7">
        <f t="shared" si="7"/>
        <v>0.36986301369863012</v>
      </c>
    </row>
    <row r="42" spans="1:10" ht="22" x14ac:dyDescent="0.3">
      <c r="A42" s="2" t="s">
        <v>10</v>
      </c>
      <c r="B42" s="2" t="s">
        <v>39</v>
      </c>
      <c r="C42" s="2">
        <v>9.3000000000000007</v>
      </c>
      <c r="D42" s="2">
        <v>0.158</v>
      </c>
      <c r="E42" s="2">
        <f t="shared" si="4"/>
        <v>0.42212825933756171</v>
      </c>
      <c r="F42" s="2">
        <f t="shared" si="5"/>
        <v>0.53418803418803418</v>
      </c>
      <c r="G42" s="2">
        <f t="shared" si="6"/>
        <v>0.47815814676279794</v>
      </c>
      <c r="H42" s="4">
        <v>53</v>
      </c>
      <c r="I42" s="4">
        <v>26</v>
      </c>
      <c r="J42" s="7">
        <f t="shared" si="7"/>
        <v>0.49056603773584906</v>
      </c>
    </row>
    <row r="43" spans="1:10" ht="22" x14ac:dyDescent="0.3">
      <c r="A43" s="2" t="s">
        <v>18</v>
      </c>
      <c r="B43" s="2" t="s">
        <v>30</v>
      </c>
      <c r="C43" s="2">
        <v>9.85</v>
      </c>
      <c r="D43" s="2">
        <v>0.16600000000000001</v>
      </c>
      <c r="E43" s="2">
        <f t="shared" si="4"/>
        <v>0.46088794926004223</v>
      </c>
      <c r="F43" s="2">
        <f t="shared" si="5"/>
        <v>0.49999999999999989</v>
      </c>
      <c r="G43" s="2">
        <f t="shared" si="6"/>
        <v>0.48044397463002109</v>
      </c>
      <c r="H43" s="4">
        <v>67</v>
      </c>
      <c r="I43" s="4">
        <v>35</v>
      </c>
      <c r="J43" s="7">
        <f t="shared" si="7"/>
        <v>0.52238805970149249</v>
      </c>
    </row>
    <row r="44" spans="1:10" ht="22" x14ac:dyDescent="0.3">
      <c r="A44" s="2" t="s">
        <v>21</v>
      </c>
      <c r="B44" s="2" t="s">
        <v>23</v>
      </c>
      <c r="C44" s="2">
        <v>9</v>
      </c>
      <c r="D44" s="2">
        <v>0.151</v>
      </c>
      <c r="E44" s="2">
        <f t="shared" si="4"/>
        <v>0.40098661028893584</v>
      </c>
      <c r="F44" s="2">
        <f t="shared" si="5"/>
        <v>0.5641025641025641</v>
      </c>
      <c r="G44" s="2">
        <f t="shared" si="6"/>
        <v>0.48254458719575</v>
      </c>
      <c r="H44" s="4">
        <v>18</v>
      </c>
      <c r="I44" s="4">
        <v>10</v>
      </c>
      <c r="J44" s="7">
        <f t="shared" si="7"/>
        <v>0.55555555555555558</v>
      </c>
    </row>
    <row r="45" spans="1:10" ht="22" x14ac:dyDescent="0.3">
      <c r="A45" s="2" t="s">
        <v>8</v>
      </c>
      <c r="B45" s="2" t="s">
        <v>42</v>
      </c>
      <c r="C45" s="2">
        <v>12.21</v>
      </c>
      <c r="D45" s="2">
        <v>0.20200000000000001</v>
      </c>
      <c r="E45" s="2">
        <f t="shared" si="4"/>
        <v>0.62720225510923189</v>
      </c>
      <c r="F45" s="2">
        <f t="shared" si="5"/>
        <v>0.34615384615384603</v>
      </c>
      <c r="G45" s="2">
        <f t="shared" si="6"/>
        <v>0.48667805063153896</v>
      </c>
      <c r="H45" s="4">
        <v>22</v>
      </c>
      <c r="I45" s="4">
        <v>18</v>
      </c>
      <c r="J45" s="7">
        <f t="shared" si="7"/>
        <v>0.81818181818181823</v>
      </c>
    </row>
    <row r="46" spans="1:10" ht="22" x14ac:dyDescent="0.3">
      <c r="A46" s="2" t="s">
        <v>8</v>
      </c>
      <c r="B46" s="2" t="s">
        <v>46</v>
      </c>
      <c r="C46" s="2">
        <v>7.5</v>
      </c>
      <c r="D46" s="2">
        <v>0.123</v>
      </c>
      <c r="E46" s="2">
        <f t="shared" si="4"/>
        <v>0.2952783650458069</v>
      </c>
      <c r="F46" s="2">
        <f t="shared" si="5"/>
        <v>0.68376068376068377</v>
      </c>
      <c r="G46" s="2">
        <f t="shared" si="6"/>
        <v>0.48951952440324531</v>
      </c>
      <c r="H46" s="4">
        <v>18</v>
      </c>
      <c r="I46" s="4">
        <v>7</v>
      </c>
      <c r="J46" s="7">
        <f t="shared" si="7"/>
        <v>0.3888888888888889</v>
      </c>
    </row>
    <row r="47" spans="1:10" ht="22" x14ac:dyDescent="0.3">
      <c r="A47" s="2" t="s">
        <v>15</v>
      </c>
      <c r="B47" s="2" t="s">
        <v>37</v>
      </c>
      <c r="C47" s="2">
        <v>10</v>
      </c>
      <c r="D47" s="2">
        <v>0.16300000000000001</v>
      </c>
      <c r="E47" s="2">
        <f t="shared" si="4"/>
        <v>0.47145877378435513</v>
      </c>
      <c r="F47" s="2">
        <f t="shared" si="5"/>
        <v>0.51282051282051277</v>
      </c>
      <c r="G47" s="2">
        <f t="shared" si="6"/>
        <v>0.49213964330243398</v>
      </c>
      <c r="H47" s="4">
        <v>86</v>
      </c>
      <c r="I47" s="4">
        <v>45</v>
      </c>
      <c r="J47" s="7">
        <f t="shared" si="7"/>
        <v>0.52325581395348841</v>
      </c>
    </row>
    <row r="48" spans="1:10" ht="22" x14ac:dyDescent="0.3">
      <c r="A48" s="2" t="s">
        <v>43</v>
      </c>
      <c r="B48" s="2" t="s">
        <v>44</v>
      </c>
      <c r="C48" s="2">
        <v>11.94</v>
      </c>
      <c r="D48" s="2">
        <v>0.193</v>
      </c>
      <c r="E48" s="2">
        <f t="shared" si="4"/>
        <v>0.60817477096546857</v>
      </c>
      <c r="F48" s="2">
        <f t="shared" si="5"/>
        <v>0.38461538461538447</v>
      </c>
      <c r="G48" s="2">
        <f t="shared" si="6"/>
        <v>0.49639507779042652</v>
      </c>
      <c r="H48" s="4">
        <v>25</v>
      </c>
      <c r="I48" s="4">
        <v>19</v>
      </c>
      <c r="J48" s="7">
        <f t="shared" si="7"/>
        <v>0.76</v>
      </c>
    </row>
    <row r="49" spans="1:10" ht="22" x14ac:dyDescent="0.3">
      <c r="A49" s="2" t="s">
        <v>8</v>
      </c>
      <c r="B49" s="2" t="s">
        <v>47</v>
      </c>
      <c r="C49" s="2">
        <v>10</v>
      </c>
      <c r="D49" s="2">
        <v>0.158</v>
      </c>
      <c r="E49" s="2">
        <f t="shared" si="4"/>
        <v>0.47145877378435513</v>
      </c>
      <c r="F49" s="2">
        <f t="shared" si="5"/>
        <v>0.53418803418803418</v>
      </c>
      <c r="G49" s="2">
        <f t="shared" si="6"/>
        <v>0.50282340398619463</v>
      </c>
      <c r="H49" s="4">
        <v>7</v>
      </c>
      <c r="I49" s="4">
        <v>4</v>
      </c>
      <c r="J49" s="7">
        <f t="shared" si="7"/>
        <v>0.5714285714285714</v>
      </c>
    </row>
    <row r="50" spans="1:10" ht="22" x14ac:dyDescent="0.3">
      <c r="A50" s="2" t="s">
        <v>28</v>
      </c>
      <c r="B50" s="2" t="s">
        <v>49</v>
      </c>
      <c r="C50" s="2">
        <v>7.5</v>
      </c>
      <c r="D50" s="2">
        <v>0.11</v>
      </c>
      <c r="E50" s="2">
        <f t="shared" si="4"/>
        <v>0.2952783650458069</v>
      </c>
      <c r="F50" s="2">
        <f t="shared" si="5"/>
        <v>0.73931623931623935</v>
      </c>
      <c r="G50" s="2">
        <f t="shared" si="6"/>
        <v>0.5172973021810231</v>
      </c>
      <c r="H50" s="4">
        <v>54</v>
      </c>
      <c r="I50" s="4">
        <v>15</v>
      </c>
      <c r="J50" s="7">
        <f t="shared" si="7"/>
        <v>0.27777777777777779</v>
      </c>
    </row>
    <row r="51" spans="1:10" ht="22" x14ac:dyDescent="0.3">
      <c r="A51" s="2" t="s">
        <v>6</v>
      </c>
      <c r="B51" s="2" t="s">
        <v>7</v>
      </c>
      <c r="C51" s="2">
        <v>7.26</v>
      </c>
      <c r="D51" s="2">
        <v>0.105</v>
      </c>
      <c r="E51" s="2">
        <f t="shared" si="4"/>
        <v>0.27836504580690624</v>
      </c>
      <c r="F51" s="2">
        <f t="shared" si="5"/>
        <v>0.76068376068376065</v>
      </c>
      <c r="G51" s="2">
        <f t="shared" si="6"/>
        <v>0.51952440324533344</v>
      </c>
      <c r="H51" s="4">
        <v>34</v>
      </c>
      <c r="I51" s="4">
        <v>17</v>
      </c>
      <c r="J51" s="7">
        <f t="shared" si="7"/>
        <v>0.5</v>
      </c>
    </row>
    <row r="52" spans="1:10" ht="22" x14ac:dyDescent="0.3">
      <c r="A52" s="2" t="s">
        <v>31</v>
      </c>
      <c r="B52" s="2" t="s">
        <v>32</v>
      </c>
      <c r="C52" s="2">
        <v>13.21</v>
      </c>
      <c r="D52" s="2">
        <v>0.19800000000000001</v>
      </c>
      <c r="E52" s="2">
        <f t="shared" si="4"/>
        <v>0.69767441860465118</v>
      </c>
      <c r="F52" s="2">
        <f t="shared" si="5"/>
        <v>0.36324786324786307</v>
      </c>
      <c r="G52" s="2">
        <f t="shared" si="6"/>
        <v>0.53046114092625718</v>
      </c>
      <c r="H52" s="4">
        <v>17</v>
      </c>
      <c r="I52" s="4">
        <v>7</v>
      </c>
      <c r="J52" s="7">
        <f t="shared" si="7"/>
        <v>0.41176470588235292</v>
      </c>
    </row>
    <row r="53" spans="1:10" ht="22" x14ac:dyDescent="0.3">
      <c r="A53" s="2" t="s">
        <v>12</v>
      </c>
      <c r="B53" s="2" t="s">
        <v>13</v>
      </c>
      <c r="C53" s="2">
        <v>9.31</v>
      </c>
      <c r="D53" s="2">
        <v>0.13300000000000001</v>
      </c>
      <c r="E53" s="2">
        <f t="shared" si="4"/>
        <v>0.42283298097251587</v>
      </c>
      <c r="F53" s="2">
        <f t="shared" si="5"/>
        <v>0.64102564102564097</v>
      </c>
      <c r="G53" s="2">
        <f t="shared" si="6"/>
        <v>0.53192931099907836</v>
      </c>
      <c r="H53" s="4">
        <v>106</v>
      </c>
      <c r="I53" s="4">
        <v>40</v>
      </c>
      <c r="J53" s="7">
        <f t="shared" si="7"/>
        <v>0.37735849056603776</v>
      </c>
    </row>
    <row r="54" spans="1:10" ht="22" x14ac:dyDescent="0.3">
      <c r="A54" s="2" t="s">
        <v>18</v>
      </c>
      <c r="B54" s="2" t="s">
        <v>30</v>
      </c>
      <c r="C54" s="2">
        <v>11.61</v>
      </c>
      <c r="D54" s="2">
        <v>0.16900000000000001</v>
      </c>
      <c r="E54" s="2">
        <f t="shared" si="4"/>
        <v>0.58491895701198027</v>
      </c>
      <c r="F54" s="2">
        <f t="shared" si="5"/>
        <v>0.48717948717948711</v>
      </c>
      <c r="G54" s="2">
        <f t="shared" si="6"/>
        <v>0.53604922209573369</v>
      </c>
      <c r="H54" s="4">
        <v>62</v>
      </c>
      <c r="I54" s="4">
        <v>39</v>
      </c>
      <c r="J54" s="7">
        <f t="shared" si="7"/>
        <v>0.62903225806451613</v>
      </c>
    </row>
    <row r="55" spans="1:10" ht="22" x14ac:dyDescent="0.3">
      <c r="A55" s="2" t="s">
        <v>6</v>
      </c>
      <c r="B55" s="2" t="s">
        <v>24</v>
      </c>
      <c r="C55" s="2">
        <v>6.31</v>
      </c>
      <c r="D55" s="2">
        <v>7.6999999999999999E-2</v>
      </c>
      <c r="E55" s="2">
        <f t="shared" si="4"/>
        <v>0.21141649048625791</v>
      </c>
      <c r="F55" s="2">
        <f t="shared" si="5"/>
        <v>0.88034188034188032</v>
      </c>
      <c r="G55" s="2">
        <f t="shared" si="6"/>
        <v>0.5458791854140691</v>
      </c>
      <c r="H55" s="4">
        <v>34</v>
      </c>
      <c r="I55" s="4">
        <v>16</v>
      </c>
      <c r="J55" s="7">
        <f t="shared" si="7"/>
        <v>0.47058823529411764</v>
      </c>
    </row>
    <row r="56" spans="1:10" ht="22" x14ac:dyDescent="0.3">
      <c r="A56" s="2" t="s">
        <v>18</v>
      </c>
      <c r="B56" s="2" t="s">
        <v>19</v>
      </c>
      <c r="C56" s="2">
        <v>11.54</v>
      </c>
      <c r="D56" s="2">
        <v>0.16200000000000001</v>
      </c>
      <c r="E56" s="2">
        <f t="shared" si="4"/>
        <v>0.5799859055673009</v>
      </c>
      <c r="F56" s="2">
        <f t="shared" si="5"/>
        <v>0.51709401709401703</v>
      </c>
      <c r="G56" s="2">
        <f t="shared" si="6"/>
        <v>0.54853996133065897</v>
      </c>
      <c r="H56" s="4">
        <v>63</v>
      </c>
      <c r="I56" s="4">
        <v>28</v>
      </c>
      <c r="J56" s="7">
        <f t="shared" si="7"/>
        <v>0.44444444444444442</v>
      </c>
    </row>
    <row r="57" spans="1:10" ht="22" x14ac:dyDescent="0.3">
      <c r="A57" s="2" t="s">
        <v>18</v>
      </c>
      <c r="B57" s="2" t="s">
        <v>40</v>
      </c>
      <c r="C57" s="2">
        <v>7.88</v>
      </c>
      <c r="D57" s="2">
        <v>9.4E-2</v>
      </c>
      <c r="E57" s="2">
        <f t="shared" si="4"/>
        <v>0.3220577871740663</v>
      </c>
      <c r="F57" s="2">
        <f t="shared" si="5"/>
        <v>0.80769230769230771</v>
      </c>
      <c r="G57" s="2">
        <f t="shared" si="6"/>
        <v>0.56487504743318695</v>
      </c>
      <c r="H57" s="4">
        <v>48</v>
      </c>
      <c r="I57" s="4">
        <v>31</v>
      </c>
      <c r="J57" s="7">
        <f t="shared" si="7"/>
        <v>0.64583333333333337</v>
      </c>
    </row>
    <row r="58" spans="1:10" ht="22" x14ac:dyDescent="0.3">
      <c r="A58" s="2" t="s">
        <v>15</v>
      </c>
      <c r="B58" s="2" t="s">
        <v>45</v>
      </c>
      <c r="C58" s="2">
        <v>11.73</v>
      </c>
      <c r="D58" s="2">
        <v>0.157</v>
      </c>
      <c r="E58" s="2">
        <f t="shared" si="4"/>
        <v>0.59337561663143057</v>
      </c>
      <c r="F58" s="2">
        <f t="shared" si="5"/>
        <v>0.53846153846153844</v>
      </c>
      <c r="G58" s="2">
        <f t="shared" si="6"/>
        <v>0.56591857754648456</v>
      </c>
      <c r="H58" s="4">
        <v>24</v>
      </c>
      <c r="I58" s="4">
        <v>14</v>
      </c>
      <c r="J58" s="7">
        <f t="shared" si="7"/>
        <v>0.58333333333333337</v>
      </c>
    </row>
    <row r="59" spans="1:10" ht="22" x14ac:dyDescent="0.3">
      <c r="A59" s="2" t="s">
        <v>35</v>
      </c>
      <c r="B59" s="2" t="s">
        <v>32</v>
      </c>
      <c r="C59" s="2">
        <v>15.23</v>
      </c>
      <c r="D59" s="2">
        <v>0.21099999999999999</v>
      </c>
      <c r="E59" s="2">
        <f t="shared" si="4"/>
        <v>0.84002818886539821</v>
      </c>
      <c r="F59" s="2">
        <f t="shared" si="5"/>
        <v>0.30769230769230771</v>
      </c>
      <c r="G59" s="2">
        <f t="shared" si="6"/>
        <v>0.57386024827885296</v>
      </c>
      <c r="H59" s="4">
        <v>15</v>
      </c>
      <c r="I59" s="4">
        <v>11</v>
      </c>
      <c r="J59" s="7">
        <f t="shared" si="7"/>
        <v>0.73333333333333328</v>
      </c>
    </row>
    <row r="60" spans="1:10" ht="22" x14ac:dyDescent="0.3">
      <c r="A60" s="2" t="s">
        <v>8</v>
      </c>
      <c r="B60" s="2" t="s">
        <v>44</v>
      </c>
      <c r="C60" s="2">
        <v>15</v>
      </c>
      <c r="D60" s="2">
        <v>0.191</v>
      </c>
      <c r="E60" s="2">
        <f t="shared" si="4"/>
        <v>0.82381959126145177</v>
      </c>
      <c r="F60" s="2">
        <f t="shared" si="5"/>
        <v>0.3931623931623931</v>
      </c>
      <c r="G60" s="2">
        <f t="shared" si="6"/>
        <v>0.60849099221192238</v>
      </c>
      <c r="H60" s="4">
        <v>20</v>
      </c>
      <c r="I60" s="4">
        <v>14</v>
      </c>
      <c r="J60" s="7">
        <f t="shared" si="7"/>
        <v>0.7</v>
      </c>
    </row>
    <row r="61" spans="1:10" ht="22" x14ac:dyDescent="0.3">
      <c r="A61" s="2" t="s">
        <v>18</v>
      </c>
      <c r="B61" s="2" t="s">
        <v>11</v>
      </c>
      <c r="C61" s="2">
        <v>12.88</v>
      </c>
      <c r="D61" s="2">
        <v>0.155</v>
      </c>
      <c r="E61" s="2">
        <f t="shared" si="4"/>
        <v>0.67441860465116288</v>
      </c>
      <c r="F61" s="2">
        <f t="shared" si="5"/>
        <v>0.54700854700854706</v>
      </c>
      <c r="G61" s="2">
        <f t="shared" si="6"/>
        <v>0.61071357582985497</v>
      </c>
      <c r="H61" s="4">
        <v>60</v>
      </c>
      <c r="I61" s="4">
        <v>29</v>
      </c>
      <c r="J61" s="7">
        <f t="shared" si="7"/>
        <v>0.48333333333333334</v>
      </c>
    </row>
    <row r="62" spans="1:10" ht="22" x14ac:dyDescent="0.3">
      <c r="A62" s="2" t="s">
        <v>35</v>
      </c>
      <c r="B62" s="2" t="s">
        <v>32</v>
      </c>
      <c r="C62" s="2">
        <v>14.17</v>
      </c>
      <c r="D62" s="2">
        <v>0.16700000000000001</v>
      </c>
      <c r="E62" s="2">
        <f t="shared" si="4"/>
        <v>0.76532769556025371</v>
      </c>
      <c r="F62" s="2">
        <f t="shared" si="5"/>
        <v>0.49572649572649563</v>
      </c>
      <c r="G62" s="2">
        <f t="shared" si="6"/>
        <v>0.63052709564337461</v>
      </c>
      <c r="H62" s="4">
        <v>17</v>
      </c>
      <c r="I62" s="4">
        <v>12</v>
      </c>
      <c r="J62" s="7">
        <f t="shared" si="7"/>
        <v>0.70588235294117652</v>
      </c>
    </row>
    <row r="63" spans="1:10" ht="22" x14ac:dyDescent="0.3">
      <c r="A63" s="2" t="s">
        <v>31</v>
      </c>
      <c r="B63" s="2" t="s">
        <v>32</v>
      </c>
      <c r="C63" s="2">
        <v>17.5</v>
      </c>
      <c r="D63" s="2">
        <v>0.215</v>
      </c>
      <c r="E63" s="2">
        <f t="shared" si="4"/>
        <v>1</v>
      </c>
      <c r="F63" s="2">
        <f t="shared" si="5"/>
        <v>0.29059829059829068</v>
      </c>
      <c r="G63" s="2">
        <f t="shared" si="6"/>
        <v>0.64529914529914534</v>
      </c>
      <c r="H63" s="4">
        <v>12</v>
      </c>
      <c r="I63" s="4">
        <v>7</v>
      </c>
      <c r="J63" s="7">
        <f t="shared" si="7"/>
        <v>0.58333333333333337</v>
      </c>
    </row>
    <row r="64" spans="1:10" ht="22" x14ac:dyDescent="0.3">
      <c r="A64" s="2" t="s">
        <v>18</v>
      </c>
      <c r="B64" s="2" t="s">
        <v>19</v>
      </c>
      <c r="C64" s="2">
        <v>16.39</v>
      </c>
      <c r="D64" s="2">
        <v>0.19500000000000001</v>
      </c>
      <c r="E64" s="2">
        <f t="shared" si="4"/>
        <v>0.92177589852008457</v>
      </c>
      <c r="F64" s="2">
        <f t="shared" si="5"/>
        <v>0.37606837606837595</v>
      </c>
      <c r="G64" s="2">
        <f t="shared" si="6"/>
        <v>0.64892213729423021</v>
      </c>
      <c r="H64" s="4">
        <v>62</v>
      </c>
      <c r="I64" s="4">
        <v>33</v>
      </c>
      <c r="J64" s="7">
        <f t="shared" si="7"/>
        <v>0.532258064516129</v>
      </c>
    </row>
    <row r="65" spans="1:12" ht="22" x14ac:dyDescent="0.3">
      <c r="A65" s="2" t="s">
        <v>12</v>
      </c>
      <c r="B65" s="2" t="s">
        <v>50</v>
      </c>
      <c r="C65" s="2">
        <v>12.13</v>
      </c>
      <c r="D65" s="2">
        <v>0.10299999999999999</v>
      </c>
      <c r="E65" s="2">
        <f t="shared" si="4"/>
        <v>0.62156448202959835</v>
      </c>
      <c r="F65" s="2">
        <f t="shared" si="5"/>
        <v>0.76923076923076927</v>
      </c>
      <c r="G65" s="2">
        <f t="shared" si="6"/>
        <v>0.69539762563018381</v>
      </c>
      <c r="H65" s="4">
        <v>50</v>
      </c>
      <c r="I65" s="4">
        <v>27</v>
      </c>
      <c r="J65" s="7">
        <f t="shared" si="7"/>
        <v>0.54</v>
      </c>
      <c r="K65" s="15"/>
      <c r="L65" s="15"/>
    </row>
    <row r="66" spans="1:12" ht="22" x14ac:dyDescent="0.3">
      <c r="A66" s="2" t="s">
        <v>43</v>
      </c>
      <c r="B66" s="2" t="s">
        <v>47</v>
      </c>
      <c r="C66" s="2">
        <v>15.83</v>
      </c>
      <c r="D66" s="2">
        <v>0.13200000000000001</v>
      </c>
      <c r="E66" s="2">
        <f t="shared" si="4"/>
        <v>0.88231148696264972</v>
      </c>
      <c r="F66" s="2">
        <f t="shared" si="5"/>
        <v>0.64529914529914523</v>
      </c>
      <c r="G66" s="2">
        <f t="shared" ref="G66:G97" si="8">0.5 *E66+0.5*F66</f>
        <v>0.76380531613089753</v>
      </c>
      <c r="H66" s="4">
        <v>13</v>
      </c>
      <c r="I66" s="4">
        <v>6</v>
      </c>
      <c r="J66" s="7">
        <f t="shared" ref="J66:J97" si="9">I66/H66</f>
        <v>0.46153846153846156</v>
      </c>
      <c r="K66" s="15"/>
      <c r="L66" s="15"/>
    </row>
    <row r="67" spans="1:12" ht="22" x14ac:dyDescent="0.3">
      <c r="A67" s="2" t="s">
        <v>15</v>
      </c>
      <c r="B67" s="2" t="s">
        <v>54</v>
      </c>
      <c r="C67" s="2">
        <v>15</v>
      </c>
      <c r="D67" s="2">
        <v>0.112</v>
      </c>
      <c r="E67" s="2">
        <f t="shared" si="4"/>
        <v>0.82381959126145177</v>
      </c>
      <c r="F67" s="2">
        <f t="shared" si="5"/>
        <v>0.73076923076923073</v>
      </c>
      <c r="G67" s="2">
        <f t="shared" si="8"/>
        <v>0.77729441101534125</v>
      </c>
      <c r="H67" s="4">
        <v>75</v>
      </c>
      <c r="I67" s="4">
        <v>29</v>
      </c>
      <c r="J67" s="7">
        <f t="shared" si="9"/>
        <v>0.38666666666666666</v>
      </c>
      <c r="K67" s="15"/>
      <c r="L67" s="15"/>
    </row>
    <row r="68" spans="1:12" ht="22" x14ac:dyDescent="0.3">
      <c r="A68" s="2" t="s">
        <v>12</v>
      </c>
      <c r="B68" s="2" t="s">
        <v>50</v>
      </c>
      <c r="C68" s="2">
        <v>13.7</v>
      </c>
      <c r="D68" s="2">
        <v>4.9000000000000002E-2</v>
      </c>
      <c r="E68" s="2">
        <f t="shared" si="4"/>
        <v>0.73220577871740655</v>
      </c>
      <c r="F68" s="2">
        <f t="shared" si="5"/>
        <v>1</v>
      </c>
      <c r="G68" s="2">
        <f t="shared" si="8"/>
        <v>0.86610288935870328</v>
      </c>
      <c r="H68" s="4">
        <v>92</v>
      </c>
      <c r="I68" s="4">
        <v>52</v>
      </c>
      <c r="J68" s="7">
        <f t="shared" si="9"/>
        <v>0.56521739130434778</v>
      </c>
      <c r="K68" s="15"/>
      <c r="L68" s="15"/>
    </row>
    <row r="69" spans="1:12" ht="22" x14ac:dyDescent="0.3">
      <c r="G69" s="15"/>
      <c r="H69" s="4">
        <f>SUM(H2:H68)</f>
        <v>2963</v>
      </c>
      <c r="I69" s="4">
        <f>SUM(I2:I68)</f>
        <v>1400</v>
      </c>
      <c r="J69" s="7"/>
      <c r="K69" s="15"/>
      <c r="L69" s="15"/>
    </row>
    <row r="70" spans="1:12" ht="22" x14ac:dyDescent="0.3">
      <c r="G70" s="15"/>
      <c r="H70" s="4"/>
      <c r="I70" s="4"/>
      <c r="J70" s="7"/>
      <c r="K70" s="15"/>
      <c r="L70" s="15"/>
    </row>
    <row r="71" spans="1:12" ht="22" x14ac:dyDescent="0.3">
      <c r="G71" s="15"/>
      <c r="H71" s="4"/>
      <c r="I71" s="4"/>
      <c r="J71" s="7"/>
      <c r="K71" s="15"/>
      <c r="L71" s="15"/>
    </row>
    <row r="72" spans="1:12" ht="24" x14ac:dyDescent="0.3">
      <c r="H72" s="13"/>
      <c r="I72" s="13"/>
      <c r="J72" s="14"/>
    </row>
    <row r="73" spans="1:12" ht="24" x14ac:dyDescent="0.3">
      <c r="H73" s="13"/>
      <c r="I73" s="13"/>
      <c r="J73" s="14"/>
    </row>
    <row r="74" spans="1:12" ht="24" x14ac:dyDescent="0.3">
      <c r="H74" s="13"/>
      <c r="I74" s="13"/>
      <c r="J74" s="14"/>
    </row>
  </sheetData>
  <sortState xmlns:xlrd2="http://schemas.microsoft.com/office/spreadsheetml/2017/richdata2" ref="A2:J69">
    <sortCondition ref="G2:G69"/>
  </sortState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aggregated</vt:lpstr>
      <vt:lpstr>math_course_results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Savanna Leung</cp:lastModifiedBy>
  <dcterms:created xsi:type="dcterms:W3CDTF">2025-03-23T22:08:21Z</dcterms:created>
  <dcterms:modified xsi:type="dcterms:W3CDTF">2025-03-24T00:23:43Z</dcterms:modified>
</cp:coreProperties>
</file>
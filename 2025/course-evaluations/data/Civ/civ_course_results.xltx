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savannaleung/Downloads/Maroon/data/course eval piece/"/>
    </mc:Choice>
  </mc:AlternateContent>
  <xr:revisionPtr revIDLastSave="0" documentId="13_ncr:1_{250A7B58-779B-0D4E-89BF-BC76360BE29B}" xr6:coauthVersionLast="47" xr6:coauthVersionMax="47" xr10:uidLastSave="{00000000-0000-0000-0000-000000000000}"/>
  <bookViews>
    <workbookView xWindow="0" yWindow="740" windowWidth="29400" windowHeight="16680" activeTab="1" xr2:uid="{7F4FF43F-A19E-9748-84D0-B9AC15BB2FDD}"/>
  </bookViews>
  <sheets>
    <sheet name="Sheet1" sheetId="2" r:id="rId1"/>
    <sheet name="by sequence" sheetId="3" r:id="rId2"/>
    <sheet name="civ_course_results" sheetId="1" r:id="rId3"/>
  </sheets>
  <calcPr calcId="191029"/>
  <pivotCaches>
    <pivotCache cacheId="39" r:id="rId4"/>
    <pivotCache cacheId="4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3" i="1" l="1"/>
  <c r="F5" i="1"/>
  <c r="F88" i="1"/>
  <c r="F90" i="1"/>
  <c r="F75" i="1"/>
  <c r="F98" i="1"/>
  <c r="F6" i="1"/>
  <c r="F55" i="1"/>
  <c r="F112" i="1"/>
  <c r="F77" i="1"/>
  <c r="F33" i="1"/>
  <c r="F76" i="1"/>
  <c r="F74" i="1"/>
  <c r="F52" i="1"/>
  <c r="F126" i="1"/>
  <c r="F92" i="1"/>
  <c r="F45" i="1"/>
  <c r="F125" i="1"/>
  <c r="F131" i="1"/>
  <c r="F115" i="1"/>
  <c r="F105" i="1"/>
  <c r="F2" i="1"/>
  <c r="F49" i="1"/>
  <c r="F14" i="1"/>
  <c r="F110" i="1"/>
  <c r="F27" i="1"/>
  <c r="F87" i="1"/>
  <c r="F72" i="1"/>
  <c r="F20" i="1"/>
  <c r="F44" i="1"/>
  <c r="F25" i="1"/>
  <c r="F11" i="1"/>
  <c r="F32" i="1"/>
  <c r="F107" i="1"/>
  <c r="F43" i="1"/>
  <c r="F122" i="1"/>
  <c r="F79" i="1"/>
  <c r="F12" i="1"/>
  <c r="F89" i="1"/>
  <c r="F71" i="1"/>
  <c r="F113" i="1"/>
  <c r="F58" i="1"/>
  <c r="F124" i="1"/>
  <c r="F30" i="1"/>
  <c r="F36" i="1"/>
  <c r="F97" i="1"/>
  <c r="F94" i="1"/>
  <c r="F28" i="1"/>
  <c r="F57" i="1"/>
  <c r="F26" i="1"/>
  <c r="F117" i="1"/>
  <c r="F51" i="1"/>
  <c r="F132" i="1"/>
  <c r="F35" i="1"/>
  <c r="F123" i="1"/>
  <c r="F116" i="1"/>
  <c r="F41" i="1"/>
  <c r="F48" i="1"/>
  <c r="F23" i="1"/>
  <c r="F3" i="1"/>
  <c r="F68" i="1"/>
  <c r="F127" i="1"/>
  <c r="F10" i="1"/>
  <c r="F102" i="1"/>
  <c r="F65" i="1"/>
  <c r="F96" i="1"/>
  <c r="F85" i="1"/>
  <c r="F31" i="1"/>
  <c r="F81" i="1"/>
  <c r="F120" i="1"/>
  <c r="F66" i="1"/>
  <c r="F13" i="1"/>
  <c r="F119" i="1"/>
  <c r="F100" i="1"/>
  <c r="F61" i="1"/>
  <c r="F60" i="1"/>
  <c r="F53" i="1"/>
  <c r="F8" i="1"/>
  <c r="F104" i="1"/>
  <c r="F29" i="1"/>
  <c r="F54" i="1"/>
  <c r="F67" i="1"/>
  <c r="F7" i="1"/>
  <c r="F39" i="1"/>
  <c r="F118" i="1"/>
  <c r="F63" i="1"/>
  <c r="F18" i="1"/>
  <c r="F62" i="1"/>
  <c r="F129" i="1"/>
  <c r="F93" i="1"/>
  <c r="F17" i="1"/>
  <c r="F80" i="1"/>
  <c r="F9" i="1"/>
  <c r="F103" i="1"/>
  <c r="F86" i="1"/>
  <c r="F121" i="1"/>
  <c r="F95" i="1"/>
  <c r="F47" i="1"/>
  <c r="F59" i="1"/>
  <c r="F22" i="1"/>
  <c r="F46" i="1"/>
  <c r="F130" i="1"/>
  <c r="F21" i="1"/>
  <c r="F50" i="1"/>
  <c r="F38" i="1"/>
  <c r="F34" i="1"/>
  <c r="F64" i="1"/>
  <c r="F16" i="1"/>
  <c r="F109" i="1"/>
  <c r="F128" i="1"/>
  <c r="F40" i="1"/>
  <c r="F106" i="1"/>
  <c r="F19" i="1"/>
  <c r="F24" i="1"/>
  <c r="F83" i="1"/>
  <c r="F111" i="1"/>
  <c r="F114" i="1"/>
  <c r="F108" i="1"/>
  <c r="F4" i="1"/>
  <c r="F99" i="1"/>
  <c r="F70" i="1"/>
  <c r="F101" i="1"/>
  <c r="F69" i="1"/>
  <c r="F78" i="1"/>
  <c r="F82" i="1"/>
  <c r="F37" i="1"/>
  <c r="F91" i="1"/>
  <c r="F84" i="1"/>
  <c r="F42" i="1"/>
  <c r="F56" i="1"/>
  <c r="F15" i="1"/>
  <c r="E43" i="1"/>
  <c r="E122" i="1"/>
  <c r="E79" i="1"/>
  <c r="E12" i="1"/>
  <c r="E89" i="1"/>
  <c r="E71" i="1"/>
  <c r="E113" i="1"/>
  <c r="E58" i="1"/>
  <c r="E124" i="1"/>
  <c r="E30" i="1"/>
  <c r="E36" i="1"/>
  <c r="E97" i="1"/>
  <c r="E94" i="1"/>
  <c r="E28" i="1"/>
  <c r="E57" i="1"/>
  <c r="E26" i="1"/>
  <c r="E117" i="1"/>
  <c r="E51" i="1"/>
  <c r="E132" i="1"/>
  <c r="E35" i="1"/>
  <c r="E123" i="1"/>
  <c r="E116" i="1"/>
  <c r="E41" i="1"/>
  <c r="E48" i="1"/>
  <c r="E23" i="1"/>
  <c r="E3" i="1"/>
  <c r="E68" i="1"/>
  <c r="E127" i="1"/>
  <c r="E10" i="1"/>
  <c r="E102" i="1"/>
  <c r="E65" i="1"/>
  <c r="E96" i="1"/>
  <c r="E85" i="1"/>
  <c r="E31" i="1"/>
  <c r="E81" i="1"/>
  <c r="E120" i="1"/>
  <c r="E66" i="1"/>
  <c r="E13" i="1"/>
  <c r="E119" i="1"/>
  <c r="E73" i="1"/>
  <c r="G73" i="1" s="1"/>
  <c r="E5" i="1"/>
  <c r="G5" i="1" s="1"/>
  <c r="E88" i="1"/>
  <c r="E90" i="1"/>
  <c r="E75" i="1"/>
  <c r="E98" i="1"/>
  <c r="E6" i="1"/>
  <c r="E55" i="1"/>
  <c r="E112" i="1"/>
  <c r="G112" i="1" s="1"/>
  <c r="E77" i="1"/>
  <c r="G77" i="1" s="1"/>
  <c r="E33" i="1"/>
  <c r="E76" i="1"/>
  <c r="G76" i="1" s="1"/>
  <c r="E74" i="1"/>
  <c r="E52" i="1"/>
  <c r="E126" i="1"/>
  <c r="E92" i="1"/>
  <c r="E45" i="1"/>
  <c r="G45" i="1" s="1"/>
  <c r="E125" i="1"/>
  <c r="G125" i="1" s="1"/>
  <c r="E131" i="1"/>
  <c r="E115" i="1"/>
  <c r="G115" i="1" s="1"/>
  <c r="E105" i="1"/>
  <c r="E2" i="1"/>
  <c r="E18" i="1"/>
  <c r="E62" i="1"/>
  <c r="E129" i="1"/>
  <c r="E93" i="1"/>
  <c r="G93" i="1" s="1"/>
  <c r="E17" i="1"/>
  <c r="E80" i="1"/>
  <c r="E9" i="1"/>
  <c r="E103" i="1"/>
  <c r="E86" i="1"/>
  <c r="E121" i="1"/>
  <c r="E95" i="1"/>
  <c r="E47" i="1"/>
  <c r="G47" i="1" s="1"/>
  <c r="E59" i="1"/>
  <c r="E22" i="1"/>
  <c r="E46" i="1"/>
  <c r="E130" i="1"/>
  <c r="E21" i="1"/>
  <c r="E50" i="1"/>
  <c r="E38" i="1"/>
  <c r="E34" i="1"/>
  <c r="G34" i="1" s="1"/>
  <c r="E64" i="1"/>
  <c r="E16" i="1"/>
  <c r="E109" i="1"/>
  <c r="E128" i="1"/>
  <c r="E40" i="1"/>
  <c r="E106" i="1"/>
  <c r="E19" i="1"/>
  <c r="E24" i="1"/>
  <c r="G24" i="1" s="1"/>
  <c r="E83" i="1"/>
  <c r="E111" i="1"/>
  <c r="E114" i="1"/>
  <c r="E108" i="1"/>
  <c r="E4" i="1"/>
  <c r="E99" i="1"/>
  <c r="E70" i="1"/>
  <c r="E101" i="1"/>
  <c r="E69" i="1"/>
  <c r="E78" i="1"/>
  <c r="E82" i="1"/>
  <c r="E37" i="1"/>
  <c r="E91" i="1"/>
  <c r="E84" i="1"/>
  <c r="E42" i="1"/>
  <c r="E56" i="1"/>
  <c r="G56" i="1" s="1"/>
  <c r="E49" i="1"/>
  <c r="E14" i="1"/>
  <c r="E110" i="1"/>
  <c r="G110" i="1" s="1"/>
  <c r="E27" i="1"/>
  <c r="E87" i="1"/>
  <c r="E72" i="1"/>
  <c r="E20" i="1"/>
  <c r="E44" i="1"/>
  <c r="E25" i="1"/>
  <c r="E11" i="1"/>
  <c r="E32" i="1"/>
  <c r="G32" i="1" s="1"/>
  <c r="E107" i="1"/>
  <c r="E100" i="1"/>
  <c r="G100" i="1" s="1"/>
  <c r="E61" i="1"/>
  <c r="G61" i="1" s="1"/>
  <c r="E60" i="1"/>
  <c r="G60" i="1" s="1"/>
  <c r="E53" i="1"/>
  <c r="E8" i="1"/>
  <c r="E104" i="1"/>
  <c r="E29" i="1"/>
  <c r="E54" i="1"/>
  <c r="E67" i="1"/>
  <c r="G67" i="1" s="1"/>
  <c r="E7" i="1"/>
  <c r="G7" i="1" s="1"/>
  <c r="E39" i="1"/>
  <c r="G39" i="1" s="1"/>
  <c r="E118" i="1"/>
  <c r="E63" i="1"/>
  <c r="E15" i="1"/>
  <c r="J41" i="1"/>
  <c r="J48" i="1"/>
  <c r="J23" i="1"/>
  <c r="J3" i="1"/>
  <c r="J68" i="1"/>
  <c r="J127" i="1"/>
  <c r="J10" i="1"/>
  <c r="J102" i="1"/>
  <c r="J65" i="1"/>
  <c r="J96" i="1"/>
  <c r="J85" i="1"/>
  <c r="J31" i="1"/>
  <c r="J81" i="1"/>
  <c r="J120" i="1"/>
  <c r="J66" i="1"/>
  <c r="J13" i="1"/>
  <c r="J119" i="1"/>
  <c r="J73" i="1"/>
  <c r="J5" i="1"/>
  <c r="J88" i="1"/>
  <c r="J90" i="1"/>
  <c r="J75" i="1"/>
  <c r="J98" i="1"/>
  <c r="J6" i="1"/>
  <c r="J55" i="1"/>
  <c r="J112" i="1"/>
  <c r="J77" i="1"/>
  <c r="J33" i="1"/>
  <c r="J76" i="1"/>
  <c r="J74" i="1"/>
  <c r="J52" i="1"/>
  <c r="J126" i="1"/>
  <c r="J92" i="1"/>
  <c r="J45" i="1"/>
  <c r="J125" i="1"/>
  <c r="J131" i="1"/>
  <c r="J115" i="1"/>
  <c r="J105" i="1"/>
  <c r="J2" i="1"/>
  <c r="J107" i="1"/>
  <c r="J43" i="1"/>
  <c r="J122" i="1"/>
  <c r="J79" i="1"/>
  <c r="J12" i="1"/>
  <c r="J89" i="1"/>
  <c r="J71" i="1"/>
  <c r="J113" i="1"/>
  <c r="J58" i="1"/>
  <c r="J124" i="1"/>
  <c r="J30" i="1"/>
  <c r="J36" i="1"/>
  <c r="J97" i="1"/>
  <c r="J94" i="1"/>
  <c r="J28" i="1"/>
  <c r="J57" i="1"/>
  <c r="J26" i="1"/>
  <c r="J117" i="1"/>
  <c r="J51" i="1"/>
  <c r="J132" i="1"/>
  <c r="J35" i="1"/>
  <c r="J123" i="1"/>
  <c r="J116" i="1"/>
  <c r="J32" i="1"/>
  <c r="J17" i="1"/>
  <c r="J80" i="1"/>
  <c r="J9" i="1"/>
  <c r="J103" i="1"/>
  <c r="J86" i="1"/>
  <c r="J121" i="1"/>
  <c r="J95" i="1"/>
  <c r="J47" i="1"/>
  <c r="J59" i="1"/>
  <c r="J22" i="1"/>
  <c r="J46" i="1"/>
  <c r="J130" i="1"/>
  <c r="J21" i="1"/>
  <c r="J50" i="1"/>
  <c r="J38" i="1"/>
  <c r="J34" i="1"/>
  <c r="J64" i="1"/>
  <c r="J16" i="1"/>
  <c r="J109" i="1"/>
  <c r="J128" i="1"/>
  <c r="J40" i="1"/>
  <c r="J106" i="1"/>
  <c r="J19" i="1"/>
  <c r="J24" i="1"/>
  <c r="J83" i="1"/>
  <c r="J111" i="1"/>
  <c r="J114" i="1"/>
  <c r="J108" i="1"/>
  <c r="J4" i="1"/>
  <c r="J99" i="1"/>
  <c r="J70" i="1"/>
  <c r="J101" i="1"/>
  <c r="J69" i="1"/>
  <c r="J78" i="1"/>
  <c r="J82" i="1"/>
  <c r="J37" i="1"/>
  <c r="J91" i="1"/>
  <c r="J84" i="1"/>
  <c r="J42" i="1"/>
  <c r="J56" i="1"/>
  <c r="J49" i="1"/>
  <c r="J14" i="1"/>
  <c r="J110" i="1"/>
  <c r="J27" i="1"/>
  <c r="J87" i="1"/>
  <c r="J72" i="1"/>
  <c r="J20" i="1"/>
  <c r="J44" i="1"/>
  <c r="J25" i="1"/>
  <c r="J11" i="1"/>
  <c r="J100" i="1"/>
  <c r="J61" i="1"/>
  <c r="J60" i="1"/>
  <c r="J53" i="1"/>
  <c r="J8" i="1"/>
  <c r="J104" i="1"/>
  <c r="J29" i="1"/>
  <c r="J54" i="1"/>
  <c r="J67" i="1"/>
  <c r="J7" i="1"/>
  <c r="J39" i="1"/>
  <c r="J118" i="1"/>
  <c r="J63" i="1"/>
  <c r="J18" i="1"/>
  <c r="J62" i="1"/>
  <c r="J129" i="1"/>
  <c r="J93" i="1"/>
  <c r="J15" i="1"/>
  <c r="G84" i="1" l="1"/>
  <c r="G99" i="1"/>
  <c r="G106" i="1"/>
  <c r="G50" i="1"/>
  <c r="G121" i="1"/>
  <c r="G62" i="1"/>
  <c r="G78" i="1"/>
  <c r="G111" i="1"/>
  <c r="G16" i="1"/>
  <c r="G22" i="1"/>
  <c r="G80" i="1"/>
  <c r="G63" i="1"/>
  <c r="G8" i="1"/>
  <c r="G83" i="1"/>
  <c r="G101" i="1"/>
  <c r="G29" i="1"/>
  <c r="G14" i="1"/>
  <c r="G92" i="1"/>
  <c r="G55" i="1"/>
  <c r="G104" i="1"/>
  <c r="G49" i="1"/>
  <c r="G129" i="1"/>
  <c r="G119" i="1"/>
  <c r="G65" i="1"/>
  <c r="G41" i="1"/>
  <c r="G57" i="1"/>
  <c r="G113" i="1"/>
  <c r="G116" i="1"/>
  <c r="G20" i="1"/>
  <c r="G102" i="1"/>
  <c r="G71" i="1"/>
  <c r="G118" i="1"/>
  <c r="G53" i="1"/>
  <c r="G66" i="1"/>
  <c r="G10" i="1"/>
  <c r="G123" i="1"/>
  <c r="G94" i="1"/>
  <c r="G89" i="1"/>
  <c r="G44" i="1"/>
  <c r="G15" i="1"/>
  <c r="G11" i="1"/>
  <c r="G13" i="1"/>
  <c r="G28" i="1"/>
  <c r="G25" i="1"/>
  <c r="G69" i="1"/>
  <c r="G64" i="1"/>
  <c r="G59" i="1"/>
  <c r="G17" i="1"/>
  <c r="G131" i="1"/>
  <c r="G33" i="1"/>
  <c r="G91" i="1"/>
  <c r="G128" i="1"/>
  <c r="G12" i="1"/>
  <c r="G46" i="1"/>
  <c r="G75" i="1"/>
  <c r="G4" i="1"/>
  <c r="G130" i="1"/>
  <c r="G109" i="1"/>
  <c r="G79" i="1"/>
  <c r="G31" i="1"/>
  <c r="G3" i="1"/>
  <c r="G51" i="1"/>
  <c r="G30" i="1"/>
  <c r="G122" i="1"/>
  <c r="G72" i="1"/>
  <c r="G90" i="1"/>
  <c r="G40" i="1"/>
  <c r="G18" i="1"/>
  <c r="G6" i="1"/>
  <c r="G37" i="1"/>
  <c r="G127" i="1"/>
  <c r="G98" i="1"/>
  <c r="G114" i="1"/>
  <c r="G68" i="1"/>
  <c r="G36" i="1"/>
  <c r="G74" i="1"/>
  <c r="G85" i="1"/>
  <c r="G23" i="1"/>
  <c r="G117" i="1"/>
  <c r="G124" i="1"/>
  <c r="G43" i="1"/>
  <c r="G87" i="1"/>
  <c r="G88" i="1"/>
  <c r="G86" i="1"/>
  <c r="G103" i="1"/>
  <c r="G120" i="1"/>
  <c r="G97" i="1"/>
  <c r="G52" i="1"/>
  <c r="G9" i="1"/>
  <c r="G105" i="1"/>
  <c r="G96" i="1"/>
  <c r="G48" i="1"/>
  <c r="G26" i="1"/>
  <c r="G58" i="1"/>
  <c r="G107" i="1"/>
  <c r="G27" i="1"/>
  <c r="G21" i="1"/>
  <c r="G126" i="1"/>
  <c r="G108" i="1"/>
  <c r="G35" i="1"/>
  <c r="G2" i="1"/>
  <c r="G82" i="1"/>
  <c r="G81" i="1"/>
  <c r="G132" i="1"/>
  <c r="G42" i="1"/>
  <c r="G70" i="1"/>
  <c r="G19" i="1"/>
  <c r="G38" i="1"/>
  <c r="G95" i="1"/>
  <c r="G54" i="1"/>
</calcChain>
</file>

<file path=xl/sharedStrings.xml><?xml version="1.0" encoding="utf-8"?>
<sst xmlns="http://schemas.openxmlformats.org/spreadsheetml/2006/main" count="479" uniqueCount="165">
  <si>
    <t>Course Code</t>
  </si>
  <si>
    <t>Instructor</t>
  </si>
  <si>
    <t>Enrolled</t>
  </si>
  <si>
    <t>Responses</t>
  </si>
  <si>
    <t>Avg Hours</t>
  </si>
  <si>
    <t>Sentiment Score</t>
  </si>
  <si>
    <t>SALC 24002</t>
  </si>
  <si>
    <t>(s)</t>
  </si>
  <si>
    <t>HIST 10101</t>
  </si>
  <si>
    <t>(s) Ayodeji</t>
  </si>
  <si>
    <t>NEHC 20012</t>
  </si>
  <si>
    <t>(s) Hakan Karateke</t>
  </si>
  <si>
    <t>HIST 13002</t>
  </si>
  <si>
    <t>(s) Oliver Cussen</t>
  </si>
  <si>
    <t>SOSC 24900</t>
  </si>
  <si>
    <t>(s) Ben Laurence</t>
  </si>
  <si>
    <t>SALC 20702</t>
  </si>
  <si>
    <t>(s) Katie</t>
  </si>
  <si>
    <t>JWSC 12001</t>
  </si>
  <si>
    <t>(s) Larisa Reznik</t>
  </si>
  <si>
    <t>HIST 14000</t>
  </si>
  <si>
    <t>(s) William Nickell</t>
  </si>
  <si>
    <t>GNSE 15002</t>
  </si>
  <si>
    <t>(s) Jordan Johansen</t>
  </si>
  <si>
    <t>HIST 13700</t>
  </si>
  <si>
    <t>NEHC 20014</t>
  </si>
  <si>
    <t>(s) Mehrnoush Soroush</t>
  </si>
  <si>
    <t>HIST 13500</t>
  </si>
  <si>
    <t>HIST 13900</t>
  </si>
  <si>
    <t>(s) Eleonora Gilburd</t>
  </si>
  <si>
    <t>(s) Rhiannon Auriemma</t>
  </si>
  <si>
    <t>(s) Ghenwa Hayek</t>
  </si>
  <si>
    <t>HIST 16900</t>
  </si>
  <si>
    <t>HIST 16800</t>
  </si>
  <si>
    <t>HIST 13600</t>
  </si>
  <si>
    <t>NEHC 20017</t>
  </si>
  <si>
    <t>(s)  Jana Matuszak</t>
  </si>
  <si>
    <t>SOSC 24901</t>
  </si>
  <si>
    <t>(s) Chiara Galli</t>
  </si>
  <si>
    <t>(s) Anna Aizman</t>
  </si>
  <si>
    <t>(s) KyeongHee Choi</t>
  </si>
  <si>
    <t>HIST 13001</t>
  </si>
  <si>
    <t>(s) Ada Palmer</t>
  </si>
  <si>
    <t>(s) Rachel Fulton Brown</t>
  </si>
  <si>
    <t>GNSE 15003</t>
  </si>
  <si>
    <t>(s) Leah M. Feldman</t>
  </si>
  <si>
    <t>(s) Michael Williams</t>
  </si>
  <si>
    <t>MDVL 20602</t>
  </si>
  <si>
    <t>(s) Adam Flowers</t>
  </si>
  <si>
    <t>(s) Clifford Ando</t>
  </si>
  <si>
    <t>(s) Sunit Singh</t>
  </si>
  <si>
    <t>(s) Daisy Delogu</t>
  </si>
  <si>
    <t>NEHC 20603</t>
  </si>
  <si>
    <t>(s)  Ada</t>
  </si>
  <si>
    <t>(s)  Michael Williams</t>
  </si>
  <si>
    <t>(s) Lina Ferreira CabezaVanegas</t>
  </si>
  <si>
    <t>HIPS 18401</t>
  </si>
  <si>
    <t>(s) Michael Paul Rossi</t>
  </si>
  <si>
    <t>NEHC 20004</t>
  </si>
  <si>
    <t>HIST 18301</t>
  </si>
  <si>
    <t>(s) Keegan Boyar</t>
  </si>
  <si>
    <t>(s) Hoda El Shakry</t>
  </si>
  <si>
    <t>NEHC 20005</t>
  </si>
  <si>
    <t>(s)  Petra Goedegebuure</t>
  </si>
  <si>
    <t>(s) Stephanie Painter</t>
  </si>
  <si>
    <t>HIST 16700</t>
  </si>
  <si>
    <t>(s) Jonathan Hall</t>
  </si>
  <si>
    <t>MDVL 20601</t>
  </si>
  <si>
    <t>(s) Nicholas Longworth</t>
  </si>
  <si>
    <t>HIST 11701</t>
  </si>
  <si>
    <t>(s) Katherine Costello</t>
  </si>
  <si>
    <t>NEHC 20006</t>
  </si>
  <si>
    <t>(s) Margaret</t>
  </si>
  <si>
    <t>(s) Olivia Bustion</t>
  </si>
  <si>
    <t>(s) Mannat Johal</t>
  </si>
  <si>
    <t>HIST 10102</t>
  </si>
  <si>
    <t>(s) Ayodeji Olugbuyiro</t>
  </si>
  <si>
    <t>(s) Yaroslav Gorbachov</t>
  </si>
  <si>
    <t>(s) Maggie Borowitz</t>
  </si>
  <si>
    <t>(s) Daniel Jacobs</t>
  </si>
  <si>
    <t>(s) James Vaughn</t>
  </si>
  <si>
    <t>NEHC 20016</t>
  </si>
  <si>
    <t>(s)  Augusta McMahon</t>
  </si>
  <si>
    <t>HIST 14100</t>
  </si>
  <si>
    <t>(s)  Anna Aizman</t>
  </si>
  <si>
    <t>NEHC 20011</t>
  </si>
  <si>
    <t>(s) James Osborne</t>
  </si>
  <si>
    <t>RLST 20315</t>
  </si>
  <si>
    <t>(s) Cecilia Palombo</t>
  </si>
  <si>
    <t>(s) Savitri Kunze</t>
  </si>
  <si>
    <t>HIST 17521</t>
  </si>
  <si>
    <t>(s) Fredrik</t>
  </si>
  <si>
    <t>(s) Sheena Finnigan</t>
  </si>
  <si>
    <t>(s) Zoya</t>
  </si>
  <si>
    <t>(s)  Zoya</t>
  </si>
  <si>
    <t>(s) Alina Shokareva</t>
  </si>
  <si>
    <t>(s) Nory Peters</t>
  </si>
  <si>
    <t>HIST 13200</t>
  </si>
  <si>
    <t>(s) Katy Weintraub</t>
  </si>
  <si>
    <t>(s) Stephan Palmie</t>
  </si>
  <si>
    <t>HIST 17522</t>
  </si>
  <si>
    <t>(s)  Julia Mead</t>
  </si>
  <si>
    <t>HIST 13003</t>
  </si>
  <si>
    <t>(s)  Oliver Cussen</t>
  </si>
  <si>
    <t>(s) Kris Trujillo</t>
  </si>
  <si>
    <t>(s)  Sunit</t>
  </si>
  <si>
    <t>(s) Kenneth Moss</t>
  </si>
  <si>
    <t>RDIN 16200</t>
  </si>
  <si>
    <t>(s) Mauricio Tenorio</t>
  </si>
  <si>
    <t>HIST 13100</t>
  </si>
  <si>
    <t>NEHC 20013</t>
  </si>
  <si>
    <t>(s) Brian Muhs</t>
  </si>
  <si>
    <t>(s) Firas Alkhateeb</t>
  </si>
  <si>
    <t>SOSC 26300</t>
  </si>
  <si>
    <t>(s)  Brodwyn Fischer</t>
  </si>
  <si>
    <t>MDVL 20100</t>
  </si>
  <si>
    <t>(s) Muzaffar Alam</t>
  </si>
  <si>
    <t>(s) Mohammad Hemyari</t>
  </si>
  <si>
    <t>(s) Catherine Kearns</t>
  </si>
  <si>
    <t>(s) Red Tremmel</t>
  </si>
  <si>
    <t>(s) Francois</t>
  </si>
  <si>
    <t>(s) Mark Bradley</t>
  </si>
  <si>
    <t>(s)  Tristan Sharp</t>
  </si>
  <si>
    <t>(s) C. Snorton</t>
  </si>
  <si>
    <t>(s) Katie Hickerson</t>
  </si>
  <si>
    <t>(s)  Tobias</t>
  </si>
  <si>
    <t>HIST 10103</t>
  </si>
  <si>
    <t>(s)  Samuel Daly</t>
  </si>
  <si>
    <t>(s) Tristan Sharp</t>
  </si>
  <si>
    <t>(s)  Mannat</t>
  </si>
  <si>
    <t>(s)  Roy Kimmey III</t>
  </si>
  <si>
    <t>SALC 20200</t>
  </si>
  <si>
    <t>(s)  Rochona Majumdar</t>
  </si>
  <si>
    <t>SOSC 26100</t>
  </si>
  <si>
    <t>(s) Emilio Kouri</t>
  </si>
  <si>
    <t>(s)  Larisa Reznik</t>
  </si>
  <si>
    <t>(s) Sarah McDaniel</t>
  </si>
  <si>
    <t>Normalised Hours</t>
  </si>
  <si>
    <t>Inverted Sentiment</t>
  </si>
  <si>
    <t>Final Difficulty Score</t>
  </si>
  <si>
    <t>Response Rate</t>
  </si>
  <si>
    <t>Row Labels</t>
  </si>
  <si>
    <t>Grand Total</t>
  </si>
  <si>
    <t>Average of Avg Hours</t>
  </si>
  <si>
    <t>Average of Sentiment Score</t>
  </si>
  <si>
    <t>Average of Final Difficulty Score</t>
  </si>
  <si>
    <t>Average of Response Rate</t>
  </si>
  <si>
    <t>Sequence Group</t>
  </si>
  <si>
    <t>Gender and Sexuality</t>
  </si>
  <si>
    <t>Science, Culture, and Society</t>
  </si>
  <si>
    <t>Introduction to African Civilization</t>
  </si>
  <si>
    <t>Jewish Civilization</t>
  </si>
  <si>
    <t>History of European Civilization</t>
  </si>
  <si>
    <t>History of Western Civilization</t>
  </si>
  <si>
    <t>America in World Civilization</t>
  </si>
  <si>
    <t>Russia and Eurasia</t>
  </si>
  <si>
    <t>Ancient Mediterranean World</t>
  </si>
  <si>
    <t>Energy in World Civilizations</t>
  </si>
  <si>
    <t>Colonizations</t>
  </si>
  <si>
    <t>Introduction to the Civilizations of South Asia</t>
  </si>
  <si>
    <t>Islamic Thought and Literature</t>
  </si>
  <si>
    <t>Ancient Near Eastern Thought &amp; Literature</t>
  </si>
  <si>
    <t>Ancient Empires</t>
  </si>
  <si>
    <t>Introduction to Latin American Civilization</t>
  </si>
  <si>
    <t>Human Rights in World Civilizations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</si>
</sst>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5"/>
      <color rgb="FF565656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8" fillId="0" borderId="0" xfId="0" applyFont="1"/>
    <xf numFmtId="0" fontId="19" fillId="0" borderId="0" xfId="0" applyFont="1"/>
    <xf numFmtId="9" fontId="19" fillId="0" borderId="0" xfId="1" applyFont="1"/>
    <xf numFmtId="9" fontId="18" fillId="0" borderId="0" xfId="1" applyFont="1"/>
    <xf numFmtId="164" fontId="18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9" fontId="0" fillId="0" borderId="0" xfId="0" applyNumberFormat="1"/>
    <xf numFmtId="0" fontId="20" fillId="0" borderId="0" xfId="0" applyFont="1"/>
    <xf numFmtId="0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numFmt numFmtId="164" formatCode="0.000"/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47.602372569447" createdVersion="8" refreshedVersion="8" minRefreshableVersion="3" recordCount="131" xr:uid="{285746BD-A7E9-3045-BD1B-AC9161DE1C65}">
  <cacheSource type="worksheet">
    <worksheetSource ref="A1:K132" sheet="civ_course_results"/>
  </cacheSource>
  <cacheFields count="11">
    <cacheField name="Course Code" numFmtId="0">
      <sharedItems/>
    </cacheField>
    <cacheField name="Instructor" numFmtId="0">
      <sharedItems/>
    </cacheField>
    <cacheField name="Avg Hours" numFmtId="0">
      <sharedItems containsSemiMixedTypes="0" containsString="0" containsNumber="1" minValue="2.5" maxValue="15"/>
    </cacheField>
    <cacheField name="Sentiment Score" numFmtId="164">
      <sharedItems containsSemiMixedTypes="0" containsString="0" containsNumber="1" minValue="0.113" maxValue="0.32300000000000001"/>
    </cacheField>
    <cacheField name="Normalised Hours" numFmtId="164">
      <sharedItems containsSemiMixedTypes="0" containsString="0" containsNumber="1" minValue="0" maxValue="1"/>
    </cacheField>
    <cacheField name="Inverted Sentiment" numFmtId="164">
      <sharedItems containsSemiMixedTypes="0" containsString="0" containsNumber="1" minValue="0" maxValue="1"/>
    </cacheField>
    <cacheField name="Final Difficulty Score" numFmtId="164">
      <sharedItems containsSemiMixedTypes="0" containsString="0" containsNumber="1" minValue="0.05" maxValue="0.84952380952380957"/>
    </cacheField>
    <cacheField name="Enrolled" numFmtId="0">
      <sharedItems containsSemiMixedTypes="0" containsString="0" containsNumber="1" containsInteger="1" minValue="10" maxValue="78"/>
    </cacheField>
    <cacheField name="Responses" numFmtId="0">
      <sharedItems containsSemiMixedTypes="0" containsString="0" containsNumber="1" containsInteger="1" minValue="3" maxValue="44"/>
    </cacheField>
    <cacheField name="Response Rate" numFmtId="9">
      <sharedItems containsSemiMixedTypes="0" containsString="0" containsNumber="1" minValue="0.24" maxValue="0.84615384615384615"/>
    </cacheField>
    <cacheField name="Sequence Group" numFmtId="0">
      <sharedItems count="17">
        <s v="Gender and Sexuality"/>
        <s v="Islamic Thought and Literature"/>
        <s v="Introduction to African Civilization"/>
        <s v="Ancient Empires"/>
        <s v="Colonizations"/>
        <s v="Russia and Eurasia"/>
        <s v="Introduction to the Civilizations of South Asia"/>
        <s v="Human Rights in World Civilizations"/>
        <s v="Ancient Near Eastern Thought &amp; Literature"/>
        <s v="History of European Civilization"/>
        <s v="Jewish Civilization"/>
        <s v="History of Western Civilization"/>
        <s v="America in World Civilization"/>
        <s v="Introduction to Latin American Civilization"/>
        <s v="Energy in World Civilizations"/>
        <s v="Ancient Mediterranean World"/>
        <s v="Science, Culture, and Societ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47.602372800924" createdVersion="8" refreshedVersion="8" minRefreshableVersion="3" recordCount="131" xr:uid="{3299A4EF-BED4-9E4E-B923-AD8DF2F81045}">
  <cacheSource type="worksheet">
    <worksheetSource ref="A1:J132" sheet="civ_course_results"/>
  </cacheSource>
  <cacheFields count="10">
    <cacheField name="Course Code" numFmtId="0">
      <sharedItems count="47">
        <s v="GNSE 15002"/>
        <s v="MDVL 20602"/>
        <s v="MDVL 20601"/>
        <s v="GNSE 15003"/>
        <s v="HIST 10103"/>
        <s v="NEHC 20014"/>
        <s v="SALC 20702"/>
        <s v="HIST 14000"/>
        <s v="MDVL 20100"/>
        <s v="RLST 20315"/>
        <s v="SOSC 24901"/>
        <s v="SALC 24002"/>
        <s v="NEHC 20004"/>
        <s v="NEHC 20017"/>
        <s v="NEHC 20016"/>
        <s v="HIST 13003"/>
        <s v="NEHC 20005"/>
        <s v="NEHC 20011"/>
        <s v="HIST 13001"/>
        <s v="HIST 13200"/>
        <s v="HIST 13700"/>
        <s v="HIST 13002"/>
        <s v="RDIN 16200"/>
        <s v="HIST 11701"/>
        <s v="HIST 13500"/>
        <s v="HIST 13100"/>
        <s v="HIST 17521"/>
        <s v="HIST 14100"/>
        <s v="HIST 16800"/>
        <s v="NEHC 20013"/>
        <s v="NEHC 20603"/>
        <s v="SALC 20200"/>
        <s v="SOSC 24900"/>
        <s v="HIST 17522"/>
        <s v="NEHC 20012"/>
        <s v="HIST 16900"/>
        <s v="HIPS 18401"/>
        <s v="HIST 16700"/>
        <s v="HIST 13900"/>
        <s v="HIST 18301"/>
        <s v="HIST 10102"/>
        <s v="HIST 13600"/>
        <s v="HIST 10101"/>
        <s v="NEHC 20006"/>
        <s v="JWSC 12001"/>
        <s v="SOSC 26300"/>
        <s v="SOSC 26100"/>
      </sharedItems>
    </cacheField>
    <cacheField name="Instructor" numFmtId="0">
      <sharedItems/>
    </cacheField>
    <cacheField name="Avg Hours" numFmtId="0">
      <sharedItems containsSemiMixedTypes="0" containsString="0" containsNumber="1" minValue="2.5" maxValue="15"/>
    </cacheField>
    <cacheField name="Sentiment Score" numFmtId="164">
      <sharedItems containsSemiMixedTypes="0" containsString="0" containsNumber="1" minValue="0.113" maxValue="0.32300000000000001"/>
    </cacheField>
    <cacheField name="Normalised Hours" numFmtId="164">
      <sharedItems containsSemiMixedTypes="0" containsString="0" containsNumber="1" minValue="0" maxValue="1"/>
    </cacheField>
    <cacheField name="Inverted Sentiment" numFmtId="164">
      <sharedItems containsSemiMixedTypes="0" containsString="0" containsNumber="1" minValue="0" maxValue="1"/>
    </cacheField>
    <cacheField name="Final Difficulty Score" numFmtId="164">
      <sharedItems containsSemiMixedTypes="0" containsString="0" containsNumber="1" minValue="0.05" maxValue="0.84952380952380957"/>
    </cacheField>
    <cacheField name="Enrolled" numFmtId="0">
      <sharedItems containsSemiMixedTypes="0" containsString="0" containsNumber="1" containsInteger="1" minValue="10" maxValue="78"/>
    </cacheField>
    <cacheField name="Responses" numFmtId="0">
      <sharedItems containsSemiMixedTypes="0" containsString="0" containsNumber="1" containsInteger="1" minValue="3" maxValue="44"/>
    </cacheField>
    <cacheField name="Response Rate" numFmtId="9">
      <sharedItems containsSemiMixedTypes="0" containsString="0" containsNumber="1" minValue="0.24" maxValue="0.846153846153846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">
  <r>
    <s v="GNSE 15002"/>
    <s v="(s) Sarah McDaniel"/>
    <n v="3.75"/>
    <n v="0.32300000000000001"/>
    <n v="0.1"/>
    <n v="0"/>
    <n v="0.05"/>
    <n v="19"/>
    <n v="14"/>
    <n v="0.73684210526315785"/>
    <x v="0"/>
  </r>
  <r>
    <s v="MDVL 20602"/>
    <s v="(s) Firas Alkhateeb"/>
    <n v="2.5"/>
    <n v="0.26400000000000001"/>
    <n v="0"/>
    <n v="0.28095238095238095"/>
    <n v="0.14047619047619048"/>
    <n v="21"/>
    <n v="8"/>
    <n v="0.38095238095238093"/>
    <x v="1"/>
  </r>
  <r>
    <s v="MDVL 20601"/>
    <s v="(s) Nicholas Longworth"/>
    <n v="3.21"/>
    <n v="0.26800000000000002"/>
    <n v="5.6799999999999996E-2"/>
    <n v="0.26190476190476186"/>
    <n v="0.15935238095238094"/>
    <n v="24"/>
    <n v="7"/>
    <n v="0.29166666666666669"/>
    <x v="1"/>
  </r>
  <r>
    <s v="GNSE 15003"/>
    <s v="(s) C. Snorton"/>
    <n v="6.07"/>
    <n v="0.29499999999999998"/>
    <n v="0.28560000000000002"/>
    <n v="0.13333333333333341"/>
    <n v="0.20946666666666672"/>
    <n v="19"/>
    <n v="8"/>
    <n v="0.42105263157894735"/>
    <x v="0"/>
  </r>
  <r>
    <s v="HIST 10103"/>
    <s v="(s)  Samuel Daly"/>
    <n v="3.75"/>
    <n v="0.25600000000000001"/>
    <n v="0.1"/>
    <n v="0.31904761904761902"/>
    <n v="0.2095238095238095"/>
    <n v="16"/>
    <n v="4"/>
    <n v="0.25"/>
    <x v="2"/>
  </r>
  <r>
    <s v="NEHC 20014"/>
    <s v="(s) Mehrnoush Soroush"/>
    <n v="4"/>
    <n v="0.25700000000000001"/>
    <n v="0.12"/>
    <n v="0.31428571428571428"/>
    <n v="0.21714285714285714"/>
    <n v="32"/>
    <n v="13"/>
    <n v="0.40625"/>
    <x v="3"/>
  </r>
  <r>
    <s v="SALC 20702"/>
    <s v="(s) Katie"/>
    <n v="5.5"/>
    <n v="0.28199999999999997"/>
    <n v="0.24"/>
    <n v="0.19523809523809543"/>
    <n v="0.21761904761904771"/>
    <n v="19"/>
    <n v="10"/>
    <n v="0.52631578947368418"/>
    <x v="4"/>
  </r>
  <r>
    <s v="HIST 14000"/>
    <s v="(s) Anna Aizman"/>
    <n v="5"/>
    <n v="0.27"/>
    <n v="0.2"/>
    <n v="0.25238095238095226"/>
    <n v="0.22619047619047614"/>
    <n v="19"/>
    <n v="5"/>
    <n v="0.26315789473684209"/>
    <x v="5"/>
  </r>
  <r>
    <s v="MDVL 20100"/>
    <s v="(s) Muzaffar Alam"/>
    <n v="3.5"/>
    <n v="0.24399999999999999"/>
    <n v="0.08"/>
    <n v="0.37619047619047619"/>
    <n v="0.2280952380952381"/>
    <n v="39"/>
    <n v="17"/>
    <n v="0.4358974358974359"/>
    <x v="6"/>
  </r>
  <r>
    <s v="RLST 20315"/>
    <s v="(s) Cecilia Palombo"/>
    <n v="4.38"/>
    <n v="0.25600000000000001"/>
    <n v="0.15039999999999998"/>
    <n v="0.31904761904761902"/>
    <n v="0.2347238095238095"/>
    <n v="15"/>
    <n v="9"/>
    <n v="0.6"/>
    <x v="3"/>
  </r>
  <r>
    <s v="SALC 20702"/>
    <s v="(s) Zoya"/>
    <n v="5.28"/>
    <n v="0.26800000000000002"/>
    <n v="0.22240000000000001"/>
    <n v="0.26190476190476186"/>
    <n v="0.24215238095238095"/>
    <n v="20"/>
    <n v="9"/>
    <n v="0.45"/>
    <x v="4"/>
  </r>
  <r>
    <s v="SOSC 24901"/>
    <s v="(s) Mark Bradley"/>
    <n v="2.5"/>
    <n v="0.221"/>
    <n v="0"/>
    <n v="0.48571428571428577"/>
    <n v="0.24285714285714288"/>
    <n v="17"/>
    <n v="11"/>
    <n v="0.6470588235294118"/>
    <x v="7"/>
  </r>
  <r>
    <s v="GNSE 15002"/>
    <s v="(s) Ghenwa Hayek"/>
    <n v="3.93"/>
    <n v="0.24199999999999999"/>
    <n v="0.11440000000000002"/>
    <n v="0.38571428571428579"/>
    <n v="0.25005714285714292"/>
    <n v="18"/>
    <n v="8"/>
    <n v="0.44444444444444442"/>
    <x v="0"/>
  </r>
  <r>
    <s v="SALC 24002"/>
    <s v="(s)"/>
    <n v="5"/>
    <n v="0.254"/>
    <n v="0.2"/>
    <n v="0.32857142857142851"/>
    <n v="0.26428571428571423"/>
    <n v="18"/>
    <n v="9"/>
    <n v="0.5"/>
    <x v="4"/>
  </r>
  <r>
    <s v="NEHC 20004"/>
    <s v="(s)"/>
    <n v="4.29"/>
    <n v="0.24"/>
    <n v="0.14319999999999999"/>
    <n v="0.39523809523809528"/>
    <n v="0.26921904761904764"/>
    <n v="23"/>
    <n v="14"/>
    <n v="0.60869565217391308"/>
    <x v="8"/>
  </r>
  <r>
    <s v="NEHC 20017"/>
    <s v="(s)  Jana Matuszak"/>
    <n v="2.95"/>
    <n v="0.217"/>
    <n v="3.6000000000000011E-2"/>
    <n v="0.50476190476190486"/>
    <n v="0.27038095238095244"/>
    <n v="26"/>
    <n v="13"/>
    <n v="0.5"/>
    <x v="3"/>
  </r>
  <r>
    <s v="GNSE 15002"/>
    <s v="(s) Ghenwa Hayek"/>
    <n v="6"/>
    <n v="0.26700000000000002"/>
    <n v="0.28000000000000003"/>
    <n v="0.26666666666666661"/>
    <n v="0.27333333333333332"/>
    <n v="19"/>
    <n v="11"/>
    <n v="0.57894736842105265"/>
    <x v="0"/>
  </r>
  <r>
    <s v="GNSE 15003"/>
    <s v="(s) Hoda El Shakry"/>
    <n v="6.94"/>
    <n v="0.28000000000000003"/>
    <n v="0.35520000000000002"/>
    <n v="0.2047619047619047"/>
    <n v="0.27998095238095233"/>
    <n v="20"/>
    <n v="11"/>
    <n v="0.55000000000000004"/>
    <x v="0"/>
  </r>
  <r>
    <s v="NEHC 20016"/>
    <s v="(s)  Augusta McMahon"/>
    <n v="5"/>
    <n v="0.247"/>
    <n v="0.2"/>
    <n v="0.36190476190476195"/>
    <n v="0.28095238095238095"/>
    <n v="40"/>
    <n v="12"/>
    <n v="0.3"/>
    <x v="3"/>
  </r>
  <r>
    <s v="GNSE 15002"/>
    <s v="(s) Daisy Delogu"/>
    <n v="6.07"/>
    <n v="0.26300000000000001"/>
    <n v="0.28560000000000002"/>
    <n v="0.2857142857142857"/>
    <n v="0.28565714285714283"/>
    <n v="19"/>
    <n v="7"/>
    <n v="0.36842105263157893"/>
    <x v="0"/>
  </r>
  <r>
    <s v="MDVL 20602"/>
    <s v="(s) Adam Flowers"/>
    <n v="3.5"/>
    <n v="0.219"/>
    <n v="0.08"/>
    <n v="0.49523809523809526"/>
    <n v="0.28761904761904761"/>
    <n v="22"/>
    <n v="10"/>
    <n v="0.45454545454545453"/>
    <x v="1"/>
  </r>
  <r>
    <s v="HIST 13003"/>
    <s v="(s)  Oliver Cussen"/>
    <n v="5.83"/>
    <n v="0.25800000000000001"/>
    <n v="0.26640000000000003"/>
    <n v="0.30952380952380953"/>
    <n v="0.28796190476190475"/>
    <n v="10"/>
    <n v="3"/>
    <n v="0.3"/>
    <x v="9"/>
  </r>
  <r>
    <s v="NEHC 20005"/>
    <s v="(s)  Petra Goedegebuure"/>
    <n v="3.75"/>
    <n v="0.222"/>
    <n v="0.1"/>
    <n v="0.48095238095238102"/>
    <n v="0.2904761904761905"/>
    <n v="16"/>
    <n v="5"/>
    <n v="0.3125"/>
    <x v="8"/>
  </r>
  <r>
    <s v="NEHC 20011"/>
    <s v="(s) James Osborne"/>
    <n v="3.69"/>
    <n v="0.218"/>
    <n v="9.5199999999999993E-2"/>
    <n v="0.5"/>
    <n v="0.29759999999999998"/>
    <n v="44"/>
    <n v="24"/>
    <n v="0.54545454545454541"/>
    <x v="3"/>
  </r>
  <r>
    <s v="HIST 13003"/>
    <s v="(s)  Oliver Cussen"/>
    <n v="7.5"/>
    <n v="0.28199999999999997"/>
    <n v="0.4"/>
    <n v="0.19523809523809543"/>
    <n v="0.29761904761904773"/>
    <n v="16"/>
    <n v="4"/>
    <n v="0.25"/>
    <x v="9"/>
  </r>
  <r>
    <s v="HIST 13001"/>
    <s v="(s) James Vaughn"/>
    <n v="7.05"/>
    <n v="0.27400000000000002"/>
    <n v="0.36399999999999999"/>
    <n v="0.23333333333333328"/>
    <n v="0.29866666666666664"/>
    <n v="19"/>
    <n v="11"/>
    <n v="0.57894736842105265"/>
    <x v="10"/>
  </r>
  <r>
    <s v="HIST 13001"/>
    <s v="(s) Michael Williams"/>
    <n v="6.25"/>
    <n v="0.253"/>
    <n v="0.3"/>
    <n v="0.33333333333333337"/>
    <n v="0.31666666666666665"/>
    <n v="19"/>
    <n v="10"/>
    <n v="0.52631578947368418"/>
    <x v="9"/>
  </r>
  <r>
    <s v="HIST 14000"/>
    <s v="(s) William Nickell"/>
    <n v="4.17"/>
    <n v="0.218"/>
    <n v="0.1336"/>
    <n v="0.5"/>
    <n v="0.31679999999999997"/>
    <n v="19"/>
    <n v="6"/>
    <n v="0.31578947368421051"/>
    <x v="5"/>
  </r>
  <r>
    <s v="HIST 13200"/>
    <s v="(s) Katy Weintraub"/>
    <n v="3.33"/>
    <n v="0.20300000000000001"/>
    <n v="6.6400000000000001E-2"/>
    <n v="0.5714285714285714"/>
    <n v="0.31891428571428571"/>
    <n v="23"/>
    <n v="7"/>
    <n v="0.30434782608695654"/>
    <x v="11"/>
  </r>
  <r>
    <s v="SALC 20702"/>
    <s v="(s) Francois"/>
    <n v="5.5"/>
    <n v="0.23899999999999999"/>
    <n v="0.24"/>
    <n v="0.4"/>
    <n v="0.32"/>
    <n v="17"/>
    <n v="5"/>
    <n v="0.29411764705882354"/>
    <x v="4"/>
  </r>
  <r>
    <s v="HIST 13700"/>
    <s v="(s)"/>
    <n v="6.39"/>
    <n v="0.253"/>
    <n v="0.31119999999999998"/>
    <n v="0.33333333333333337"/>
    <n v="0.3222666666666667"/>
    <n v="20"/>
    <n v="9"/>
    <n v="0.45"/>
    <x v="12"/>
  </r>
  <r>
    <s v="HIST 13002"/>
    <s v="(s)  Roy Kimmey III"/>
    <n v="5.83"/>
    <n v="0.24199999999999999"/>
    <n v="0.26640000000000003"/>
    <n v="0.38571428571428579"/>
    <n v="0.32605714285714293"/>
    <n v="18"/>
    <n v="6"/>
    <n v="0.33333333333333331"/>
    <x v="9"/>
  </r>
  <r>
    <s v="GNSE 15002"/>
    <s v="(s) Lina Ferreira CabezaVanegas"/>
    <n v="7.5"/>
    <n v="0.26900000000000002"/>
    <n v="0.4"/>
    <n v="0.25714285714285712"/>
    <n v="0.32857142857142857"/>
    <n v="25"/>
    <n v="12"/>
    <n v="0.48"/>
    <x v="0"/>
  </r>
  <r>
    <s v="RDIN 16200"/>
    <s v="(s) Mauricio Tenorio"/>
    <n v="6.14"/>
    <n v="0.24199999999999999"/>
    <n v="0.29119999999999996"/>
    <n v="0.38571428571428579"/>
    <n v="0.3384571428571429"/>
    <n v="65"/>
    <n v="35"/>
    <n v="0.53846153846153844"/>
    <x v="13"/>
  </r>
  <r>
    <s v="SOSC 24901"/>
    <s v="(s) Nory Peters"/>
    <n v="4.17"/>
    <n v="0.20699999999999999"/>
    <n v="0.1336"/>
    <n v="0.55238095238095242"/>
    <n v="0.34299047619047618"/>
    <n v="19"/>
    <n v="12"/>
    <n v="0.63157894736842102"/>
    <x v="7"/>
  </r>
  <r>
    <s v="HIST 11701"/>
    <s v="(s) Larisa Reznik"/>
    <n v="5"/>
    <n v="0.22"/>
    <n v="0.2"/>
    <n v="0.49047619047619051"/>
    <n v="0.34523809523809523"/>
    <n v="21"/>
    <n v="7"/>
    <n v="0.33333333333333331"/>
    <x v="10"/>
  </r>
  <r>
    <s v="HIST 13002"/>
    <s v="(s)  Michael Williams"/>
    <n v="4.5"/>
    <n v="0.21099999999999999"/>
    <n v="0.16"/>
    <n v="0.53333333333333344"/>
    <n v="0.34666666666666673"/>
    <n v="18"/>
    <n v="6"/>
    <n v="0.33333333333333331"/>
    <x v="9"/>
  </r>
  <r>
    <s v="HIST 13500"/>
    <s v="(s)"/>
    <n v="5.62"/>
    <n v="0.22900000000000001"/>
    <n v="0.24960000000000002"/>
    <n v="0.44761904761904769"/>
    <n v="0.34860952380952387"/>
    <n v="15"/>
    <n v="8"/>
    <n v="0.53333333333333333"/>
    <x v="12"/>
  </r>
  <r>
    <s v="HIST 13500"/>
    <s v="(s)"/>
    <n v="6.39"/>
    <n v="0.24099999999999999"/>
    <n v="0.31119999999999998"/>
    <n v="0.39047619047619053"/>
    <n v="0.35083809523809528"/>
    <n v="20"/>
    <n v="9"/>
    <n v="0.45"/>
    <x v="12"/>
  </r>
  <r>
    <s v="HIST 13100"/>
    <s v="(s) Katy Weintraub"/>
    <n v="2.5"/>
    <n v="0.17499999999999999"/>
    <n v="0"/>
    <n v="0.70476190476190492"/>
    <n v="0.35238095238095246"/>
    <n v="22"/>
    <n v="8"/>
    <n v="0.36363636363636365"/>
    <x v="11"/>
  </r>
  <r>
    <s v="GNSE 15003"/>
    <s v="(s) Maggie Borowitz"/>
    <n v="7.5"/>
    <n v="0.25800000000000001"/>
    <n v="0.4"/>
    <n v="0.30952380952380953"/>
    <n v="0.35476190476190478"/>
    <n v="19"/>
    <n v="13"/>
    <n v="0.68421052631578949"/>
    <x v="0"/>
  </r>
  <r>
    <s v="HIST 17521"/>
    <s v="(s) Fredrik"/>
    <n v="6.73"/>
    <n v="0.245"/>
    <n v="0.33840000000000003"/>
    <n v="0.37142857142857144"/>
    <n v="0.35491428571428574"/>
    <n v="28"/>
    <n v="16"/>
    <n v="0.5714285714285714"/>
    <x v="14"/>
  </r>
  <r>
    <s v="HIST 14100"/>
    <s v="(s)  Anna Aizman"/>
    <n v="5.44"/>
    <n v="0.222"/>
    <n v="0.23520000000000002"/>
    <n v="0.48095238095238102"/>
    <n v="0.35807619047619055"/>
    <n v="24"/>
    <n v="17"/>
    <n v="0.70833333333333337"/>
    <x v="5"/>
  </r>
  <r>
    <s v="HIST 11701"/>
    <s v="(s) Larisa Reznik"/>
    <n v="5"/>
    <n v="0.214"/>
    <n v="0.2"/>
    <n v="0.5190476190476192"/>
    <n v="0.35952380952380958"/>
    <n v="26"/>
    <n v="13"/>
    <n v="0.5"/>
    <x v="10"/>
  </r>
  <r>
    <s v="HIST 16800"/>
    <s v="(s) Clifford Ando"/>
    <n v="6.35"/>
    <n v="0.23499999999999999"/>
    <n v="0.308"/>
    <n v="0.41904761904761922"/>
    <n v="0.36352380952380958"/>
    <n v="28"/>
    <n v="13"/>
    <n v="0.4642857142857143"/>
    <x v="15"/>
  </r>
  <r>
    <s v="HIST 13002"/>
    <s v="(s) Michael Williams"/>
    <n v="6.25"/>
    <n v="0.23300000000000001"/>
    <n v="0.3"/>
    <n v="0.4285714285714286"/>
    <n v="0.36428571428571432"/>
    <n v="14"/>
    <n v="4"/>
    <n v="0.2857142857142857"/>
    <x v="9"/>
  </r>
  <r>
    <s v="NEHC 20013"/>
    <s v="(s) Brian Muhs"/>
    <n v="5.28"/>
    <n v="0.216"/>
    <n v="0.22240000000000001"/>
    <n v="0.5095238095238096"/>
    <n v="0.36596190476190482"/>
    <n v="30"/>
    <n v="10"/>
    <n v="0.33333333333333331"/>
    <x v="3"/>
  </r>
  <r>
    <s v="SOSC 24901"/>
    <s v="(s) Ben Laurence"/>
    <n v="5"/>
    <n v="0.21099999999999999"/>
    <n v="0.2"/>
    <n v="0.53333333333333344"/>
    <n v="0.3666666666666667"/>
    <n v="21"/>
    <n v="9"/>
    <n v="0.42857142857142855"/>
    <x v="7"/>
  </r>
  <r>
    <s v="NEHC 20603"/>
    <s v="(s)  Ada"/>
    <n v="6.79"/>
    <n v="0.24099999999999999"/>
    <n v="0.34320000000000001"/>
    <n v="0.39047619047619053"/>
    <n v="0.3668380952380953"/>
    <n v="22"/>
    <n v="9"/>
    <n v="0.40909090909090912"/>
    <x v="1"/>
  </r>
  <r>
    <s v="SALC 20702"/>
    <s v="(s)  Sunit"/>
    <n v="5.5"/>
    <n v="0.219"/>
    <n v="0.24"/>
    <n v="0.49523809523809526"/>
    <n v="0.36761904761904762"/>
    <n v="13"/>
    <n v="5"/>
    <n v="0.38461538461538464"/>
    <x v="4"/>
  </r>
  <r>
    <s v="SALC 20200"/>
    <s v="(s)  Rochona Majumdar"/>
    <n v="8.5"/>
    <n v="0.26900000000000002"/>
    <n v="0.48"/>
    <n v="0.25714285714285712"/>
    <n v="0.36857142857142855"/>
    <n v="35"/>
    <n v="15"/>
    <n v="0.42857142857142855"/>
    <x v="6"/>
  </r>
  <r>
    <s v="SOSC 24900"/>
    <s v="(s) Ben Laurence"/>
    <n v="7.5"/>
    <n v="0.252"/>
    <n v="0.4"/>
    <n v="0.33809523809523812"/>
    <n v="0.36904761904761907"/>
    <n v="19"/>
    <n v="7"/>
    <n v="0.36842105263157893"/>
    <x v="7"/>
  </r>
  <r>
    <s v="GNSE 15002"/>
    <s v="(s) Jordan Johansen"/>
    <n v="5"/>
    <n v="0.20799999999999999"/>
    <n v="0.2"/>
    <n v="0.54761904761904767"/>
    <n v="0.37380952380952381"/>
    <n v="19"/>
    <n v="6"/>
    <n v="0.31578947368421051"/>
    <x v="0"/>
  </r>
  <r>
    <s v="HIST 13700"/>
    <s v="(s)"/>
    <n v="5"/>
    <n v="0.20699999999999999"/>
    <n v="0.2"/>
    <n v="0.55238095238095242"/>
    <n v="0.37619047619047619"/>
    <n v="17"/>
    <n v="5"/>
    <n v="0.29411764705882354"/>
    <x v="12"/>
  </r>
  <r>
    <s v="HIST 13001"/>
    <s v="(s) Daniel Jacobs"/>
    <n v="4.5"/>
    <n v="0.19800000000000001"/>
    <n v="0.16"/>
    <n v="0.59523809523809523"/>
    <n v="0.37761904761904763"/>
    <n v="19"/>
    <n v="11"/>
    <n v="0.57894736842105265"/>
    <x v="9"/>
  </r>
  <r>
    <s v="HIST 17522"/>
    <s v="(s)  Julia Mead"/>
    <n v="9.42"/>
    <n v="0.27800000000000002"/>
    <n v="0.55359999999999998"/>
    <n v="0.21428571428571419"/>
    <n v="0.38394285714285709"/>
    <n v="23"/>
    <n v="15"/>
    <n v="0.65217391304347827"/>
    <x v="14"/>
  </r>
  <r>
    <s v="SOSC 24900"/>
    <s v="(s) Nory Peters"/>
    <n v="5.83"/>
    <n v="0.217"/>
    <n v="0.26640000000000003"/>
    <n v="0.50476190476190486"/>
    <n v="0.38558095238095247"/>
    <n v="19"/>
    <n v="13"/>
    <n v="0.68421052631578949"/>
    <x v="7"/>
  </r>
  <r>
    <s v="SALC 20702"/>
    <s v="(s) Katie"/>
    <n v="6.25"/>
    <n v="0.224"/>
    <n v="0.3"/>
    <n v="0.47142857142857142"/>
    <n v="0.38571428571428568"/>
    <n v="16"/>
    <n v="4"/>
    <n v="0.25"/>
    <x v="4"/>
  </r>
  <r>
    <s v="HIST 13002"/>
    <s v="(s) Oliver Cussen"/>
    <n v="6.07"/>
    <n v="0.219"/>
    <n v="0.28560000000000002"/>
    <n v="0.49523809523809526"/>
    <n v="0.39041904761904767"/>
    <n v="18"/>
    <n v="7"/>
    <n v="0.3888888888888889"/>
    <x v="9"/>
  </r>
  <r>
    <s v="NEHC 20012"/>
    <s v="(s) Hakan Karateke"/>
    <n v="6.88"/>
    <n v="0.23200000000000001"/>
    <n v="0.35039999999999999"/>
    <n v="0.43333333333333335"/>
    <n v="0.3918666666666667"/>
    <n v="30"/>
    <n v="17"/>
    <n v="0.56666666666666665"/>
    <x v="3"/>
  </r>
  <r>
    <s v="HIST 16900"/>
    <s v="(s)"/>
    <n v="5.83"/>
    <n v="0.214"/>
    <n v="0.26640000000000003"/>
    <n v="0.5190476190476192"/>
    <n v="0.39272380952380959"/>
    <n v="11"/>
    <n v="5"/>
    <n v="0.45454545454545453"/>
    <x v="15"/>
  </r>
  <r>
    <s v="GNSE 15002"/>
    <s v="(s) Rhiannon Auriemma"/>
    <n v="5"/>
    <n v="0.2"/>
    <n v="0.2"/>
    <n v="0.58571428571428574"/>
    <n v="0.3928571428571429"/>
    <n v="19"/>
    <n v="8"/>
    <n v="0.42105263157894735"/>
    <x v="0"/>
  </r>
  <r>
    <s v="HIPS 18401"/>
    <s v="(s) Michael Paul Rossi"/>
    <n v="5.76"/>
    <n v="0.21199999999999999"/>
    <n v="0.26079999999999998"/>
    <n v="0.52857142857142869"/>
    <n v="0.39468571428571431"/>
    <n v="49"/>
    <n v="25"/>
    <n v="0.51020408163265307"/>
    <x v="16"/>
  </r>
  <r>
    <s v="HIST 16700"/>
    <s v="(s) Catherine Kearns"/>
    <n v="4.17"/>
    <n v="0.185"/>
    <n v="0.1336"/>
    <n v="0.65714285714285725"/>
    <n v="0.3953714285714286"/>
    <n v="25"/>
    <n v="6"/>
    <n v="0.24"/>
    <x v="15"/>
  </r>
  <r>
    <s v="GNSE 15002"/>
    <s v="(s) Red Tremmel"/>
    <n v="8.33"/>
    <n v="0.252"/>
    <n v="0.46639999999999998"/>
    <n v="0.33809523809523812"/>
    <n v="0.40224761904761908"/>
    <n v="19"/>
    <n v="6"/>
    <n v="0.31578947368421051"/>
    <x v="0"/>
  </r>
  <r>
    <s v="HIST 13700"/>
    <s v="(s)"/>
    <n v="5.83"/>
    <n v="0.20899999999999999"/>
    <n v="0.26640000000000003"/>
    <n v="0.54285714285714293"/>
    <n v="0.40462857142857145"/>
    <n v="12"/>
    <n v="7"/>
    <n v="0.58333333333333337"/>
    <x v="12"/>
  </r>
  <r>
    <s v="HIST 13700"/>
    <s v="(s)"/>
    <n v="9.5"/>
    <n v="0.26800000000000002"/>
    <n v="0.56000000000000005"/>
    <n v="0.26190476190476186"/>
    <n v="0.41095238095238096"/>
    <n v="17"/>
    <n v="6"/>
    <n v="0.35294117647058826"/>
    <x v="12"/>
  </r>
  <r>
    <s v="GNSE 15002"/>
    <s v="(s) Olivia Bustion"/>
    <n v="6.07"/>
    <n v="0.21"/>
    <n v="0.28560000000000002"/>
    <n v="0.53809523809523818"/>
    <n v="0.41184761904761913"/>
    <n v="19"/>
    <n v="7"/>
    <n v="0.36842105263157893"/>
    <x v="0"/>
  </r>
  <r>
    <s v="NEHC 20012"/>
    <s v="(s) Katherine Costello"/>
    <n v="7.5"/>
    <n v="0.23200000000000001"/>
    <n v="0.4"/>
    <n v="0.43333333333333335"/>
    <n v="0.41666666666666669"/>
    <n v="16"/>
    <n v="8"/>
    <n v="0.5"/>
    <x v="3"/>
  </r>
  <r>
    <s v="HIST 13900"/>
    <s v="(s) Alina Shokareva"/>
    <n v="6.07"/>
    <n v="0.20699999999999999"/>
    <n v="0.28560000000000002"/>
    <n v="0.55238095238095242"/>
    <n v="0.41899047619047625"/>
    <n v="18"/>
    <n v="7"/>
    <n v="0.3888888888888889"/>
    <x v="5"/>
  </r>
  <r>
    <s v="GNSE 15003"/>
    <s v="(s) Rhiannon Auriemma"/>
    <n v="4.38"/>
    <n v="0.17699999999999999"/>
    <n v="0.15039999999999998"/>
    <n v="0.69523809523809532"/>
    <n v="0.42281904761904765"/>
    <n v="15"/>
    <n v="8"/>
    <n v="0.53333333333333333"/>
    <x v="0"/>
  </r>
  <r>
    <s v="HIST 18301"/>
    <s v="(s) Mannat Johal"/>
    <n v="3.75"/>
    <n v="0.16600000000000001"/>
    <n v="0.1"/>
    <n v="0.74761904761904763"/>
    <n v="0.4238095238095238"/>
    <n v="19"/>
    <n v="8"/>
    <n v="0.42105263157894735"/>
    <x v="4"/>
  </r>
  <r>
    <s v="HIST 16900"/>
    <s v="(s)"/>
    <n v="3.5"/>
    <n v="0.16"/>
    <n v="0.08"/>
    <n v="0.77619047619047621"/>
    <n v="0.42809523809523808"/>
    <n v="23"/>
    <n v="7"/>
    <n v="0.30434782608695654"/>
    <x v="15"/>
  </r>
  <r>
    <s v="GNSE 15002"/>
    <s v="(s) Stephanie Painter"/>
    <n v="6.73"/>
    <n v="0.21299999999999999"/>
    <n v="0.33840000000000003"/>
    <n v="0.52380952380952395"/>
    <n v="0.43110476190476199"/>
    <n v="18"/>
    <n v="13"/>
    <n v="0.72222222222222221"/>
    <x v="0"/>
  </r>
  <r>
    <s v="GNSE 15003"/>
    <s v="(s) Leah M. Feldman"/>
    <n v="5.36"/>
    <n v="0.189"/>
    <n v="0.22880000000000003"/>
    <n v="0.63809523809523816"/>
    <n v="0.43344761904761908"/>
    <n v="18"/>
    <n v="7"/>
    <n v="0.3888888888888889"/>
    <x v="0"/>
  </r>
  <r>
    <s v="SALC 20702"/>
    <s v="(s)  Mannat"/>
    <n v="7.92"/>
    <n v="0.23200000000000001"/>
    <n v="0.43359999999999999"/>
    <n v="0.43333333333333335"/>
    <n v="0.43346666666666667"/>
    <n v="19"/>
    <n v="13"/>
    <n v="0.68421052631578949"/>
    <x v="4"/>
  </r>
  <r>
    <s v="HIST 18301"/>
    <s v="(s) Mannat Johal"/>
    <n v="6.79"/>
    <n v="0.21299999999999999"/>
    <n v="0.34320000000000001"/>
    <n v="0.52380952380952395"/>
    <n v="0.43350476190476195"/>
    <n v="18"/>
    <n v="7"/>
    <n v="0.3888888888888889"/>
    <x v="4"/>
  </r>
  <r>
    <s v="SOSC 24900"/>
    <s v="(s) Ben Laurence"/>
    <n v="4.5"/>
    <n v="0.17399999999999999"/>
    <n v="0.16"/>
    <n v="0.70952380952380967"/>
    <n v="0.43476190476190485"/>
    <n v="19"/>
    <n v="10"/>
    <n v="0.52631578947368418"/>
    <x v="7"/>
  </r>
  <r>
    <s v="SOSC 24901"/>
    <s v="(s) Chiara Galli"/>
    <n v="4.17"/>
    <n v="0.16700000000000001"/>
    <n v="0.1336"/>
    <n v="0.74285714285714288"/>
    <n v="0.43822857142857141"/>
    <n v="19"/>
    <n v="9"/>
    <n v="0.47368421052631576"/>
    <x v="7"/>
  </r>
  <r>
    <s v="HIST 13002"/>
    <s v="(s) Oliver Cussen"/>
    <n v="7.17"/>
    <n v="0.217"/>
    <n v="0.37359999999999999"/>
    <n v="0.50476190476190486"/>
    <n v="0.43918095238095245"/>
    <n v="20"/>
    <n v="16"/>
    <n v="0.8"/>
    <x v="9"/>
  </r>
  <r>
    <s v="HIST 10102"/>
    <s v="(s) Ayodeji Olugbuyiro"/>
    <n v="5"/>
    <n v="0.18"/>
    <n v="0.2"/>
    <n v="0.68095238095238098"/>
    <n v="0.44047619047619047"/>
    <n v="19"/>
    <n v="6"/>
    <n v="0.31578947368421051"/>
    <x v="2"/>
  </r>
  <r>
    <s v="GNSE 15002"/>
    <s v="(s) Stephanie Painter"/>
    <n v="5.36"/>
    <n v="0.186"/>
    <n v="0.22880000000000003"/>
    <n v="0.65238095238095251"/>
    <n v="0.44059047619047625"/>
    <n v="19"/>
    <n v="8"/>
    <n v="0.42105263157894735"/>
    <x v="0"/>
  </r>
  <r>
    <s v="HIST 13900"/>
    <s v="(s) Yaroslav Gorbachov"/>
    <n v="7.5"/>
    <n v="0.221"/>
    <n v="0.4"/>
    <n v="0.48571428571428577"/>
    <n v="0.44285714285714289"/>
    <n v="19"/>
    <n v="7"/>
    <n v="0.36842105263157893"/>
    <x v="5"/>
  </r>
  <r>
    <s v="GNSE 15003"/>
    <s v="(s) Red Tremmel"/>
    <n v="6.39"/>
    <n v="0.2"/>
    <n v="0.31119999999999998"/>
    <n v="0.58571428571428574"/>
    <n v="0.44845714285714289"/>
    <n v="19"/>
    <n v="9"/>
    <n v="0.47368421052631576"/>
    <x v="0"/>
  </r>
  <r>
    <s v="HIST 13001"/>
    <s v="(s) Ada Palmer"/>
    <n v="5"/>
    <n v="0.17599999999999999"/>
    <n v="0.2"/>
    <n v="0.70000000000000007"/>
    <n v="0.45000000000000007"/>
    <n v="17"/>
    <n v="5"/>
    <n v="0.29411764705882354"/>
    <x v="9"/>
  </r>
  <r>
    <s v="HIST 13600"/>
    <s v="(s)"/>
    <n v="6.5"/>
    <n v="0.20100000000000001"/>
    <n v="0.32"/>
    <n v="0.58095238095238089"/>
    <n v="0.45047619047619047"/>
    <n v="15"/>
    <n v="6"/>
    <n v="0.4"/>
    <x v="12"/>
  </r>
  <r>
    <s v="HIST 18301"/>
    <s v="(s) Katie Hickerson"/>
    <n v="7.5"/>
    <n v="0.216"/>
    <n v="0.4"/>
    <n v="0.5095238095238096"/>
    <n v="0.45476190476190481"/>
    <n v="21"/>
    <n v="7"/>
    <n v="0.33333333333333331"/>
    <x v="4"/>
  </r>
  <r>
    <s v="SALC 20702"/>
    <s v="(s)  Zoya"/>
    <n v="7.5"/>
    <n v="0.216"/>
    <n v="0.4"/>
    <n v="0.5095238095238096"/>
    <n v="0.45476190476190481"/>
    <n v="20"/>
    <n v="7"/>
    <n v="0.35"/>
    <x v="4"/>
  </r>
  <r>
    <s v="NEHC 20603"/>
    <s v="(s)  Tobias"/>
    <n v="6.59"/>
    <n v="0.2"/>
    <n v="0.32719999999999999"/>
    <n v="0.58571428571428574"/>
    <n v="0.45645714285714289"/>
    <n v="13"/>
    <n v="11"/>
    <n v="0.84615384615384615"/>
    <x v="1"/>
  </r>
  <r>
    <s v="SALC 24002"/>
    <s v="(s)"/>
    <n v="5"/>
    <n v="0.17100000000000001"/>
    <n v="0.2"/>
    <n v="0.72380952380952379"/>
    <n v="0.46190476190476193"/>
    <n v="20"/>
    <n v="9"/>
    <n v="0.45"/>
    <x v="4"/>
  </r>
  <r>
    <s v="GNSE 15003"/>
    <s v="(s) Kris Trujillo"/>
    <n v="5"/>
    <n v="0.17"/>
    <n v="0.2"/>
    <n v="0.72857142857142854"/>
    <n v="0.4642857142857143"/>
    <n v="19"/>
    <n v="6"/>
    <n v="0.31578947368421051"/>
    <x v="0"/>
  </r>
  <r>
    <s v="HIST 13600"/>
    <s v="(s)"/>
    <n v="6.67"/>
    <n v="0.19800000000000001"/>
    <n v="0.33360000000000001"/>
    <n v="0.59523809523809523"/>
    <n v="0.46441904761904762"/>
    <n v="21"/>
    <n v="12"/>
    <n v="0.5714285714285714"/>
    <x v="12"/>
  </r>
  <r>
    <s v="HIST 10102"/>
    <s v="(s) Ayodeji Olugbuyiro"/>
    <n v="6.5"/>
    <n v="0.19500000000000001"/>
    <n v="0.32"/>
    <n v="0.60952380952380958"/>
    <n v="0.46476190476190482"/>
    <n v="18"/>
    <n v="6"/>
    <n v="0.33333333333333331"/>
    <x v="2"/>
  </r>
  <r>
    <s v="GNSE 15003"/>
    <s v="(s) Leah M. Feldman"/>
    <n v="6.59"/>
    <n v="0.193"/>
    <n v="0.32719999999999999"/>
    <n v="0.61904761904761907"/>
    <n v="0.4731238095238095"/>
    <n v="19"/>
    <n v="12"/>
    <n v="0.63157894736842102"/>
    <x v="0"/>
  </r>
  <r>
    <s v="HIST 13600"/>
    <s v="(s)"/>
    <n v="8.2100000000000009"/>
    <n v="0.22"/>
    <n v="0.45680000000000009"/>
    <n v="0.49047619047619051"/>
    <n v="0.4736380952380953"/>
    <n v="19"/>
    <n v="8"/>
    <n v="0.42105263157894735"/>
    <x v="12"/>
  </r>
  <r>
    <s v="HIST 18301"/>
    <s v="(s) Stephan Palmie"/>
    <n v="6.79"/>
    <n v="0.19500000000000001"/>
    <n v="0.34320000000000001"/>
    <n v="0.60952380952380958"/>
    <n v="0.47636190476190476"/>
    <n v="17"/>
    <n v="8"/>
    <n v="0.47058823529411764"/>
    <x v="4"/>
  </r>
  <r>
    <s v="HIST 10101"/>
    <s v="(s) Ayodeji"/>
    <n v="7.5"/>
    <n v="0.20599999999999999"/>
    <n v="0.4"/>
    <n v="0.55714285714285727"/>
    <n v="0.47857142857142865"/>
    <n v="18"/>
    <n v="6"/>
    <n v="0.33333333333333331"/>
    <x v="2"/>
  </r>
  <r>
    <s v="HIST 11701"/>
    <s v="(s) Larisa Reznik"/>
    <n v="5.68"/>
    <n v="0.17100000000000001"/>
    <n v="0.25439999999999996"/>
    <n v="0.72380952380952379"/>
    <n v="0.48910476190476188"/>
    <n v="25"/>
    <n v="11"/>
    <n v="0.44"/>
    <x v="10"/>
  </r>
  <r>
    <s v="HIST 10101"/>
    <s v="(s) Ayodeji"/>
    <n v="4.17"/>
    <n v="0.14299999999999999"/>
    <n v="0.1336"/>
    <n v="0.85714285714285721"/>
    <n v="0.49537142857142857"/>
    <n v="19"/>
    <n v="7"/>
    <n v="0.36842105263157893"/>
    <x v="2"/>
  </r>
  <r>
    <s v="NEHC 20006"/>
    <s v="(s) Margaret"/>
    <n v="7.12"/>
    <n v="0.191"/>
    <n v="0.36959999999999998"/>
    <n v="0.62857142857142856"/>
    <n v="0.49908571428571424"/>
    <n v="21"/>
    <n v="14"/>
    <n v="0.66666666666666663"/>
    <x v="8"/>
  </r>
  <r>
    <s v="MDVL 20601"/>
    <s v="(s) Mohammad Hemyari"/>
    <n v="8.86"/>
    <n v="0.218"/>
    <n v="0.50879999999999992"/>
    <n v="0.5"/>
    <n v="0.50439999999999996"/>
    <n v="21"/>
    <n v="12"/>
    <n v="0.5714285714285714"/>
    <x v="1"/>
  </r>
  <r>
    <s v="SALC 24002"/>
    <s v="(s) KyeongHee Choi"/>
    <n v="4"/>
    <n v="0.13600000000000001"/>
    <n v="0.12"/>
    <n v="0.89047619047619042"/>
    <n v="0.50523809523809526"/>
    <n v="23"/>
    <n v="11"/>
    <n v="0.47826086956521741"/>
    <x v="4"/>
  </r>
  <r>
    <s v="JWSC 12001"/>
    <s v="(s) Larisa Reznik"/>
    <n v="7.05"/>
    <n v="0.185"/>
    <n v="0.36399999999999999"/>
    <n v="0.65714285714285725"/>
    <n v="0.51057142857142868"/>
    <n v="26"/>
    <n v="12"/>
    <n v="0.46153846153846156"/>
    <x v="10"/>
  </r>
  <r>
    <s v="HIST 18301"/>
    <s v="(s) Katie Hickerson"/>
    <n v="8.75"/>
    <n v="0.21099999999999999"/>
    <n v="0.5"/>
    <n v="0.53333333333333344"/>
    <n v="0.51666666666666672"/>
    <n v="17"/>
    <n v="5"/>
    <n v="0.29411764705882354"/>
    <x v="4"/>
  </r>
  <r>
    <s v="HIST 18301"/>
    <s v="(s) Keegan Boyar"/>
    <n v="7"/>
    <n v="0.18"/>
    <n v="0.36"/>
    <n v="0.68095238095238098"/>
    <n v="0.52047619047619054"/>
    <n v="19"/>
    <n v="10"/>
    <n v="0.52631578947368418"/>
    <x v="4"/>
  </r>
  <r>
    <s v="SOSC 24901"/>
    <s v="(s) Savitri Kunze"/>
    <n v="4.5"/>
    <n v="0.13700000000000001"/>
    <n v="0.16"/>
    <n v="0.88571428571428568"/>
    <n v="0.5228571428571428"/>
    <n v="19"/>
    <n v="15"/>
    <n v="0.78947368421052633"/>
    <x v="7"/>
  </r>
  <r>
    <s v="HIST 14000"/>
    <s v="(s) Eleonora Gilburd"/>
    <n v="9.64"/>
    <n v="0.222"/>
    <n v="0.57120000000000004"/>
    <n v="0.48095238095238102"/>
    <n v="0.52607619047619059"/>
    <n v="21"/>
    <n v="11"/>
    <n v="0.52380952380952384"/>
    <x v="5"/>
  </r>
  <r>
    <s v="SALC 24002"/>
    <s v="(s)"/>
    <n v="7.5"/>
    <n v="0.184"/>
    <n v="0.4"/>
    <n v="0.661904761904762"/>
    <n v="0.53095238095238106"/>
    <n v="16"/>
    <n v="8"/>
    <n v="0.5"/>
    <x v="4"/>
  </r>
  <r>
    <s v="HIST 13001"/>
    <s v="(s) Rachel Fulton Brown"/>
    <n v="6.67"/>
    <n v="0.17"/>
    <n v="0.33360000000000001"/>
    <n v="0.72857142857142854"/>
    <n v="0.53108571428571427"/>
    <n v="19"/>
    <n v="6"/>
    <n v="0.31578947368421051"/>
    <x v="9"/>
  </r>
  <r>
    <s v="HIST 14000"/>
    <s v="(s) William Nickell"/>
    <n v="7.5"/>
    <n v="0.183"/>
    <n v="0.4"/>
    <n v="0.66666666666666674"/>
    <n v="0.53333333333333344"/>
    <n v="20"/>
    <n v="8"/>
    <n v="0.4"/>
    <x v="5"/>
  </r>
  <r>
    <s v="HIST 13001"/>
    <s v="(s) Tristan Sharp"/>
    <n v="7.5"/>
    <n v="0.17899999999999999"/>
    <n v="0.4"/>
    <n v="0.68571428571428572"/>
    <n v="0.54285714285714293"/>
    <n v="17"/>
    <n v="8"/>
    <n v="0.47058823529411764"/>
    <x v="9"/>
  </r>
  <r>
    <s v="HIST 13600"/>
    <s v="(s)"/>
    <n v="6.25"/>
    <n v="0.157"/>
    <n v="0.3"/>
    <n v="0.79047619047619055"/>
    <n v="0.5452380952380953"/>
    <n v="14"/>
    <n v="4"/>
    <n v="0.2857142857142857"/>
    <x v="12"/>
  </r>
  <r>
    <s v="HIST 16700"/>
    <s v="(s) Jonathan Hall"/>
    <n v="12.5"/>
    <n v="0.25900000000000001"/>
    <n v="0.8"/>
    <n v="0.30476190476190479"/>
    <n v="0.55238095238095242"/>
    <n v="26"/>
    <n v="14"/>
    <n v="0.53846153846153844"/>
    <x v="15"/>
  </r>
  <r>
    <s v="JWSC 12001"/>
    <s v="(s)  Larisa Reznik"/>
    <n v="8.75"/>
    <n v="0.192"/>
    <n v="0.5"/>
    <n v="0.62380952380952381"/>
    <n v="0.56190476190476191"/>
    <n v="26"/>
    <n v="10"/>
    <n v="0.38461538461538464"/>
    <x v="10"/>
  </r>
  <r>
    <s v="HIST 13600"/>
    <s v="(s)"/>
    <n v="8.5"/>
    <n v="0.187"/>
    <n v="0.48"/>
    <n v="0.64761904761904765"/>
    <n v="0.56380952380952376"/>
    <n v="19"/>
    <n v="7"/>
    <n v="0.36842105263157893"/>
    <x v="12"/>
  </r>
  <r>
    <s v="GNSE 15003"/>
    <s v="(s) Kris Trujillo"/>
    <n v="7.5"/>
    <n v="0.16900000000000001"/>
    <n v="0.4"/>
    <n v="0.73333333333333339"/>
    <n v="0.56666666666666665"/>
    <n v="19"/>
    <n v="5"/>
    <n v="0.26315789473684209"/>
    <x v="0"/>
  </r>
  <r>
    <s v="HIST 13900"/>
    <s v="(s) Eleonora Gilburd"/>
    <n v="8.65"/>
    <n v="0.186"/>
    <n v="0.49200000000000005"/>
    <n v="0.65238095238095251"/>
    <n v="0.57219047619047625"/>
    <n v="20"/>
    <n v="13"/>
    <n v="0.65"/>
    <x v="5"/>
  </r>
  <r>
    <s v="HIST 13002"/>
    <s v="(s)  Tristan Sharp"/>
    <n v="7.5"/>
    <n v="0.16300000000000001"/>
    <n v="0.4"/>
    <n v="0.76190476190476186"/>
    <n v="0.58095238095238089"/>
    <n v="16"/>
    <n v="6"/>
    <n v="0.375"/>
    <x v="9"/>
  </r>
  <r>
    <s v="HIST 13900"/>
    <s v="(s) Yaroslav Gorbachov"/>
    <n v="8"/>
    <n v="0.16900000000000001"/>
    <n v="0.44"/>
    <n v="0.73333333333333339"/>
    <n v="0.58666666666666667"/>
    <n v="18"/>
    <n v="10"/>
    <n v="0.55555555555555558"/>
    <x v="5"/>
  </r>
  <r>
    <s v="HIST 13002"/>
    <s v="(s) Rachel Fulton Brown"/>
    <n v="11.25"/>
    <n v="0.222"/>
    <n v="0.7"/>
    <n v="0.48095238095238102"/>
    <n v="0.59047619047619049"/>
    <n v="15"/>
    <n v="6"/>
    <n v="0.4"/>
    <x v="9"/>
  </r>
  <r>
    <s v="HIST 13001"/>
    <s v="(s) Sheena Finnigan"/>
    <n v="8.75"/>
    <n v="0.17799999999999999"/>
    <n v="0.5"/>
    <n v="0.69047619047619058"/>
    <n v="0.59523809523809534"/>
    <n v="17"/>
    <n v="8"/>
    <n v="0.47058823529411764"/>
    <x v="9"/>
  </r>
  <r>
    <s v="HIST 13700"/>
    <s v="(s)"/>
    <n v="7.5"/>
    <n v="0.157"/>
    <n v="0.4"/>
    <n v="0.79047619047619055"/>
    <n v="0.59523809523809534"/>
    <n v="16"/>
    <n v="8"/>
    <n v="0.5"/>
    <x v="12"/>
  </r>
  <r>
    <s v="GNSE 15003"/>
    <s v="(s) Rhiannon Auriemma"/>
    <n v="5.5"/>
    <n v="0.11799999999999999"/>
    <n v="0.24"/>
    <n v="0.97619047619047628"/>
    <n v="0.60809523809523813"/>
    <n v="21"/>
    <n v="6"/>
    <n v="0.2857142857142857"/>
    <x v="0"/>
  </r>
  <r>
    <s v="HIST 13001"/>
    <s v="(s) Tristan Sharp"/>
    <n v="9.5"/>
    <n v="0.184"/>
    <n v="0.56000000000000005"/>
    <n v="0.661904761904762"/>
    <n v="0.61095238095238102"/>
    <n v="16"/>
    <n v="5"/>
    <n v="0.3125"/>
    <x v="9"/>
  </r>
  <r>
    <s v="SOSC 24900"/>
    <s v="(s) Savitri Kunze"/>
    <n v="6.67"/>
    <n v="0.13300000000000001"/>
    <n v="0.33360000000000001"/>
    <n v="0.90476190476190477"/>
    <n v="0.61918095238095239"/>
    <n v="19"/>
    <n v="12"/>
    <n v="0.63157894736842102"/>
    <x v="7"/>
  </r>
  <r>
    <s v="SOSC 26300"/>
    <s v="(s)  Brodwyn Fischer"/>
    <n v="10.56"/>
    <n v="0.19600000000000001"/>
    <n v="0.64480000000000004"/>
    <n v="0.60476190476190483"/>
    <n v="0.62478095238095244"/>
    <n v="57"/>
    <n v="20"/>
    <n v="0.35087719298245612"/>
    <x v="13"/>
  </r>
  <r>
    <s v="HIST 13500"/>
    <s v="(s)"/>
    <n v="9.5"/>
    <n v="0.155"/>
    <n v="0.56000000000000005"/>
    <n v="0.8"/>
    <n v="0.68"/>
    <n v="17"/>
    <n v="5"/>
    <n v="0.29411764705882354"/>
    <x v="12"/>
  </r>
  <r>
    <s v="HIST 16800"/>
    <s v="(s) Jordan Johansen"/>
    <n v="7.5"/>
    <n v="0.113"/>
    <n v="0.4"/>
    <n v="1"/>
    <n v="0.7"/>
    <n v="25"/>
    <n v="13"/>
    <n v="0.52"/>
    <x v="15"/>
  </r>
  <r>
    <s v="SALC 24002"/>
    <s v="(s) Sunit Singh"/>
    <n v="13.21"/>
    <n v="0.17299999999999999"/>
    <n v="0.85680000000000012"/>
    <n v="0.71428571428571441"/>
    <n v="0.78554285714285732"/>
    <n v="18"/>
    <n v="11"/>
    <n v="0.61111111111111116"/>
    <x v="4"/>
  </r>
  <r>
    <s v="SOSC 26100"/>
    <s v="(s) Emilio Kouri"/>
    <n v="15"/>
    <n v="0.17799999999999999"/>
    <n v="1"/>
    <n v="0.69047619047619058"/>
    <n v="0.84523809523809534"/>
    <n v="78"/>
    <n v="44"/>
    <n v="0.5641025641025641"/>
    <x v="13"/>
  </r>
  <r>
    <s v="JWSC 12001"/>
    <s v="(s) Kenneth Moss"/>
    <n v="13.5"/>
    <n v="0.151"/>
    <n v="0.88"/>
    <n v="0.81904761904761914"/>
    <n v="0.84952380952380957"/>
    <n v="14"/>
    <n v="6"/>
    <n v="0.42857142857142855"/>
    <x v="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">
  <r>
    <x v="0"/>
    <s v="(s) Sarah McDaniel"/>
    <n v="3.75"/>
    <n v="0.32300000000000001"/>
    <n v="0.1"/>
    <n v="0"/>
    <n v="0.05"/>
    <n v="19"/>
    <n v="14"/>
    <n v="0.73684210526315785"/>
  </r>
  <r>
    <x v="1"/>
    <s v="(s) Firas Alkhateeb"/>
    <n v="2.5"/>
    <n v="0.26400000000000001"/>
    <n v="0"/>
    <n v="0.28095238095238095"/>
    <n v="0.14047619047619048"/>
    <n v="21"/>
    <n v="8"/>
    <n v="0.38095238095238093"/>
  </r>
  <r>
    <x v="2"/>
    <s v="(s) Nicholas Longworth"/>
    <n v="3.21"/>
    <n v="0.26800000000000002"/>
    <n v="5.6799999999999996E-2"/>
    <n v="0.26190476190476186"/>
    <n v="0.15935238095238094"/>
    <n v="24"/>
    <n v="7"/>
    <n v="0.29166666666666669"/>
  </r>
  <r>
    <x v="3"/>
    <s v="(s) C. Snorton"/>
    <n v="6.07"/>
    <n v="0.29499999999999998"/>
    <n v="0.28560000000000002"/>
    <n v="0.13333333333333341"/>
    <n v="0.20946666666666672"/>
    <n v="19"/>
    <n v="8"/>
    <n v="0.42105263157894735"/>
  </r>
  <r>
    <x v="4"/>
    <s v="(s)  Samuel Daly"/>
    <n v="3.75"/>
    <n v="0.25600000000000001"/>
    <n v="0.1"/>
    <n v="0.31904761904761902"/>
    <n v="0.2095238095238095"/>
    <n v="16"/>
    <n v="4"/>
    <n v="0.25"/>
  </r>
  <r>
    <x v="5"/>
    <s v="(s) Mehrnoush Soroush"/>
    <n v="4"/>
    <n v="0.25700000000000001"/>
    <n v="0.12"/>
    <n v="0.31428571428571428"/>
    <n v="0.21714285714285714"/>
    <n v="32"/>
    <n v="13"/>
    <n v="0.40625"/>
  </r>
  <r>
    <x v="6"/>
    <s v="(s) Katie"/>
    <n v="5.5"/>
    <n v="0.28199999999999997"/>
    <n v="0.24"/>
    <n v="0.19523809523809543"/>
    <n v="0.21761904761904771"/>
    <n v="19"/>
    <n v="10"/>
    <n v="0.52631578947368418"/>
  </r>
  <r>
    <x v="7"/>
    <s v="(s) Anna Aizman"/>
    <n v="5"/>
    <n v="0.27"/>
    <n v="0.2"/>
    <n v="0.25238095238095226"/>
    <n v="0.22619047619047614"/>
    <n v="19"/>
    <n v="5"/>
    <n v="0.26315789473684209"/>
  </r>
  <r>
    <x v="8"/>
    <s v="(s) Muzaffar Alam"/>
    <n v="3.5"/>
    <n v="0.24399999999999999"/>
    <n v="0.08"/>
    <n v="0.37619047619047619"/>
    <n v="0.2280952380952381"/>
    <n v="39"/>
    <n v="17"/>
    <n v="0.4358974358974359"/>
  </r>
  <r>
    <x v="9"/>
    <s v="(s) Cecilia Palombo"/>
    <n v="4.38"/>
    <n v="0.25600000000000001"/>
    <n v="0.15039999999999998"/>
    <n v="0.31904761904761902"/>
    <n v="0.2347238095238095"/>
    <n v="15"/>
    <n v="9"/>
    <n v="0.6"/>
  </r>
  <r>
    <x v="6"/>
    <s v="(s) Zoya"/>
    <n v="5.28"/>
    <n v="0.26800000000000002"/>
    <n v="0.22240000000000001"/>
    <n v="0.26190476190476186"/>
    <n v="0.24215238095238095"/>
    <n v="20"/>
    <n v="9"/>
    <n v="0.45"/>
  </r>
  <r>
    <x v="10"/>
    <s v="(s) Mark Bradley"/>
    <n v="2.5"/>
    <n v="0.221"/>
    <n v="0"/>
    <n v="0.48571428571428577"/>
    <n v="0.24285714285714288"/>
    <n v="17"/>
    <n v="11"/>
    <n v="0.6470588235294118"/>
  </r>
  <r>
    <x v="0"/>
    <s v="(s) Ghenwa Hayek"/>
    <n v="3.93"/>
    <n v="0.24199999999999999"/>
    <n v="0.11440000000000002"/>
    <n v="0.38571428571428579"/>
    <n v="0.25005714285714292"/>
    <n v="18"/>
    <n v="8"/>
    <n v="0.44444444444444442"/>
  </r>
  <r>
    <x v="11"/>
    <s v="(s)"/>
    <n v="5"/>
    <n v="0.254"/>
    <n v="0.2"/>
    <n v="0.32857142857142851"/>
    <n v="0.26428571428571423"/>
    <n v="18"/>
    <n v="9"/>
    <n v="0.5"/>
  </r>
  <r>
    <x v="12"/>
    <s v="(s)"/>
    <n v="4.29"/>
    <n v="0.24"/>
    <n v="0.14319999999999999"/>
    <n v="0.39523809523809528"/>
    <n v="0.26921904761904764"/>
    <n v="23"/>
    <n v="14"/>
    <n v="0.60869565217391308"/>
  </r>
  <r>
    <x v="13"/>
    <s v="(s)  Jana Matuszak"/>
    <n v="2.95"/>
    <n v="0.217"/>
    <n v="3.6000000000000011E-2"/>
    <n v="0.50476190476190486"/>
    <n v="0.27038095238095244"/>
    <n v="26"/>
    <n v="13"/>
    <n v="0.5"/>
  </r>
  <r>
    <x v="0"/>
    <s v="(s) Ghenwa Hayek"/>
    <n v="6"/>
    <n v="0.26700000000000002"/>
    <n v="0.28000000000000003"/>
    <n v="0.26666666666666661"/>
    <n v="0.27333333333333332"/>
    <n v="19"/>
    <n v="11"/>
    <n v="0.57894736842105265"/>
  </r>
  <r>
    <x v="3"/>
    <s v="(s) Hoda El Shakry"/>
    <n v="6.94"/>
    <n v="0.28000000000000003"/>
    <n v="0.35520000000000002"/>
    <n v="0.2047619047619047"/>
    <n v="0.27998095238095233"/>
    <n v="20"/>
    <n v="11"/>
    <n v="0.55000000000000004"/>
  </r>
  <r>
    <x v="14"/>
    <s v="(s)  Augusta McMahon"/>
    <n v="5"/>
    <n v="0.247"/>
    <n v="0.2"/>
    <n v="0.36190476190476195"/>
    <n v="0.28095238095238095"/>
    <n v="40"/>
    <n v="12"/>
    <n v="0.3"/>
  </r>
  <r>
    <x v="0"/>
    <s v="(s) Daisy Delogu"/>
    <n v="6.07"/>
    <n v="0.26300000000000001"/>
    <n v="0.28560000000000002"/>
    <n v="0.2857142857142857"/>
    <n v="0.28565714285714283"/>
    <n v="19"/>
    <n v="7"/>
    <n v="0.36842105263157893"/>
  </r>
  <r>
    <x v="1"/>
    <s v="(s) Adam Flowers"/>
    <n v="3.5"/>
    <n v="0.219"/>
    <n v="0.08"/>
    <n v="0.49523809523809526"/>
    <n v="0.28761904761904761"/>
    <n v="22"/>
    <n v="10"/>
    <n v="0.45454545454545453"/>
  </r>
  <r>
    <x v="15"/>
    <s v="(s)  Oliver Cussen"/>
    <n v="5.83"/>
    <n v="0.25800000000000001"/>
    <n v="0.26640000000000003"/>
    <n v="0.30952380952380953"/>
    <n v="0.28796190476190475"/>
    <n v="10"/>
    <n v="3"/>
    <n v="0.3"/>
  </r>
  <r>
    <x v="16"/>
    <s v="(s)  Petra Goedegebuure"/>
    <n v="3.75"/>
    <n v="0.222"/>
    <n v="0.1"/>
    <n v="0.48095238095238102"/>
    <n v="0.2904761904761905"/>
    <n v="16"/>
    <n v="5"/>
    <n v="0.3125"/>
  </r>
  <r>
    <x v="17"/>
    <s v="(s) James Osborne"/>
    <n v="3.69"/>
    <n v="0.218"/>
    <n v="9.5199999999999993E-2"/>
    <n v="0.5"/>
    <n v="0.29759999999999998"/>
    <n v="44"/>
    <n v="24"/>
    <n v="0.54545454545454541"/>
  </r>
  <r>
    <x v="15"/>
    <s v="(s)  Oliver Cussen"/>
    <n v="7.5"/>
    <n v="0.28199999999999997"/>
    <n v="0.4"/>
    <n v="0.19523809523809543"/>
    <n v="0.29761904761904773"/>
    <n v="16"/>
    <n v="4"/>
    <n v="0.25"/>
  </r>
  <r>
    <x v="18"/>
    <s v="(s) James Vaughn"/>
    <n v="7.05"/>
    <n v="0.27400000000000002"/>
    <n v="0.36399999999999999"/>
    <n v="0.23333333333333328"/>
    <n v="0.29866666666666664"/>
    <n v="19"/>
    <n v="11"/>
    <n v="0.57894736842105265"/>
  </r>
  <r>
    <x v="18"/>
    <s v="(s) Michael Williams"/>
    <n v="6.25"/>
    <n v="0.253"/>
    <n v="0.3"/>
    <n v="0.33333333333333337"/>
    <n v="0.31666666666666665"/>
    <n v="19"/>
    <n v="10"/>
    <n v="0.52631578947368418"/>
  </r>
  <r>
    <x v="7"/>
    <s v="(s) William Nickell"/>
    <n v="4.17"/>
    <n v="0.218"/>
    <n v="0.1336"/>
    <n v="0.5"/>
    <n v="0.31679999999999997"/>
    <n v="19"/>
    <n v="6"/>
    <n v="0.31578947368421051"/>
  </r>
  <r>
    <x v="19"/>
    <s v="(s) Katy Weintraub"/>
    <n v="3.33"/>
    <n v="0.20300000000000001"/>
    <n v="6.6400000000000001E-2"/>
    <n v="0.5714285714285714"/>
    <n v="0.31891428571428571"/>
    <n v="23"/>
    <n v="7"/>
    <n v="0.30434782608695654"/>
  </r>
  <r>
    <x v="6"/>
    <s v="(s) Francois"/>
    <n v="5.5"/>
    <n v="0.23899999999999999"/>
    <n v="0.24"/>
    <n v="0.4"/>
    <n v="0.32"/>
    <n v="17"/>
    <n v="5"/>
    <n v="0.29411764705882354"/>
  </r>
  <r>
    <x v="20"/>
    <s v="(s)"/>
    <n v="6.39"/>
    <n v="0.253"/>
    <n v="0.31119999999999998"/>
    <n v="0.33333333333333337"/>
    <n v="0.3222666666666667"/>
    <n v="20"/>
    <n v="9"/>
    <n v="0.45"/>
  </r>
  <r>
    <x v="21"/>
    <s v="(s)  Roy Kimmey III"/>
    <n v="5.83"/>
    <n v="0.24199999999999999"/>
    <n v="0.26640000000000003"/>
    <n v="0.38571428571428579"/>
    <n v="0.32605714285714293"/>
    <n v="18"/>
    <n v="6"/>
    <n v="0.33333333333333331"/>
  </r>
  <r>
    <x v="0"/>
    <s v="(s) Lina Ferreira CabezaVanegas"/>
    <n v="7.5"/>
    <n v="0.26900000000000002"/>
    <n v="0.4"/>
    <n v="0.25714285714285712"/>
    <n v="0.32857142857142857"/>
    <n v="25"/>
    <n v="12"/>
    <n v="0.48"/>
  </r>
  <r>
    <x v="22"/>
    <s v="(s) Mauricio Tenorio"/>
    <n v="6.14"/>
    <n v="0.24199999999999999"/>
    <n v="0.29119999999999996"/>
    <n v="0.38571428571428579"/>
    <n v="0.3384571428571429"/>
    <n v="65"/>
    <n v="35"/>
    <n v="0.53846153846153844"/>
  </r>
  <r>
    <x v="10"/>
    <s v="(s) Nory Peters"/>
    <n v="4.17"/>
    <n v="0.20699999999999999"/>
    <n v="0.1336"/>
    <n v="0.55238095238095242"/>
    <n v="0.34299047619047618"/>
    <n v="19"/>
    <n v="12"/>
    <n v="0.63157894736842102"/>
  </r>
  <r>
    <x v="23"/>
    <s v="(s) Larisa Reznik"/>
    <n v="5"/>
    <n v="0.22"/>
    <n v="0.2"/>
    <n v="0.49047619047619051"/>
    <n v="0.34523809523809523"/>
    <n v="21"/>
    <n v="7"/>
    <n v="0.33333333333333331"/>
  </r>
  <r>
    <x v="21"/>
    <s v="(s)  Michael Williams"/>
    <n v="4.5"/>
    <n v="0.21099999999999999"/>
    <n v="0.16"/>
    <n v="0.53333333333333344"/>
    <n v="0.34666666666666673"/>
    <n v="18"/>
    <n v="6"/>
    <n v="0.33333333333333331"/>
  </r>
  <r>
    <x v="24"/>
    <s v="(s)"/>
    <n v="5.62"/>
    <n v="0.22900000000000001"/>
    <n v="0.24960000000000002"/>
    <n v="0.44761904761904769"/>
    <n v="0.34860952380952387"/>
    <n v="15"/>
    <n v="8"/>
    <n v="0.53333333333333333"/>
  </r>
  <r>
    <x v="24"/>
    <s v="(s)"/>
    <n v="6.39"/>
    <n v="0.24099999999999999"/>
    <n v="0.31119999999999998"/>
    <n v="0.39047619047619053"/>
    <n v="0.35083809523809528"/>
    <n v="20"/>
    <n v="9"/>
    <n v="0.45"/>
  </r>
  <r>
    <x v="25"/>
    <s v="(s) Katy Weintraub"/>
    <n v="2.5"/>
    <n v="0.17499999999999999"/>
    <n v="0"/>
    <n v="0.70476190476190492"/>
    <n v="0.35238095238095246"/>
    <n v="22"/>
    <n v="8"/>
    <n v="0.36363636363636365"/>
  </r>
  <r>
    <x v="3"/>
    <s v="(s) Maggie Borowitz"/>
    <n v="7.5"/>
    <n v="0.25800000000000001"/>
    <n v="0.4"/>
    <n v="0.30952380952380953"/>
    <n v="0.35476190476190478"/>
    <n v="19"/>
    <n v="13"/>
    <n v="0.68421052631578949"/>
  </r>
  <r>
    <x v="26"/>
    <s v="(s) Fredrik"/>
    <n v="6.73"/>
    <n v="0.245"/>
    <n v="0.33840000000000003"/>
    <n v="0.37142857142857144"/>
    <n v="0.35491428571428574"/>
    <n v="28"/>
    <n v="16"/>
    <n v="0.5714285714285714"/>
  </r>
  <r>
    <x v="27"/>
    <s v="(s)  Anna Aizman"/>
    <n v="5.44"/>
    <n v="0.222"/>
    <n v="0.23520000000000002"/>
    <n v="0.48095238095238102"/>
    <n v="0.35807619047619055"/>
    <n v="24"/>
    <n v="17"/>
    <n v="0.70833333333333337"/>
  </r>
  <r>
    <x v="23"/>
    <s v="(s) Larisa Reznik"/>
    <n v="5"/>
    <n v="0.214"/>
    <n v="0.2"/>
    <n v="0.5190476190476192"/>
    <n v="0.35952380952380958"/>
    <n v="26"/>
    <n v="13"/>
    <n v="0.5"/>
  </r>
  <r>
    <x v="28"/>
    <s v="(s) Clifford Ando"/>
    <n v="6.35"/>
    <n v="0.23499999999999999"/>
    <n v="0.308"/>
    <n v="0.41904761904761922"/>
    <n v="0.36352380952380958"/>
    <n v="28"/>
    <n v="13"/>
    <n v="0.4642857142857143"/>
  </r>
  <r>
    <x v="21"/>
    <s v="(s) Michael Williams"/>
    <n v="6.25"/>
    <n v="0.23300000000000001"/>
    <n v="0.3"/>
    <n v="0.4285714285714286"/>
    <n v="0.36428571428571432"/>
    <n v="14"/>
    <n v="4"/>
    <n v="0.2857142857142857"/>
  </r>
  <r>
    <x v="29"/>
    <s v="(s) Brian Muhs"/>
    <n v="5.28"/>
    <n v="0.216"/>
    <n v="0.22240000000000001"/>
    <n v="0.5095238095238096"/>
    <n v="0.36596190476190482"/>
    <n v="30"/>
    <n v="10"/>
    <n v="0.33333333333333331"/>
  </r>
  <r>
    <x v="10"/>
    <s v="(s) Ben Laurence"/>
    <n v="5"/>
    <n v="0.21099999999999999"/>
    <n v="0.2"/>
    <n v="0.53333333333333344"/>
    <n v="0.3666666666666667"/>
    <n v="21"/>
    <n v="9"/>
    <n v="0.42857142857142855"/>
  </r>
  <r>
    <x v="30"/>
    <s v="(s)  Ada"/>
    <n v="6.79"/>
    <n v="0.24099999999999999"/>
    <n v="0.34320000000000001"/>
    <n v="0.39047619047619053"/>
    <n v="0.3668380952380953"/>
    <n v="22"/>
    <n v="9"/>
    <n v="0.40909090909090912"/>
  </r>
  <r>
    <x v="6"/>
    <s v="(s)  Sunit"/>
    <n v="5.5"/>
    <n v="0.219"/>
    <n v="0.24"/>
    <n v="0.49523809523809526"/>
    <n v="0.36761904761904762"/>
    <n v="13"/>
    <n v="5"/>
    <n v="0.38461538461538464"/>
  </r>
  <r>
    <x v="31"/>
    <s v="(s)  Rochona Majumdar"/>
    <n v="8.5"/>
    <n v="0.26900000000000002"/>
    <n v="0.48"/>
    <n v="0.25714285714285712"/>
    <n v="0.36857142857142855"/>
    <n v="35"/>
    <n v="15"/>
    <n v="0.42857142857142855"/>
  </r>
  <r>
    <x v="32"/>
    <s v="(s) Ben Laurence"/>
    <n v="7.5"/>
    <n v="0.252"/>
    <n v="0.4"/>
    <n v="0.33809523809523812"/>
    <n v="0.36904761904761907"/>
    <n v="19"/>
    <n v="7"/>
    <n v="0.36842105263157893"/>
  </r>
  <r>
    <x v="0"/>
    <s v="(s) Jordan Johansen"/>
    <n v="5"/>
    <n v="0.20799999999999999"/>
    <n v="0.2"/>
    <n v="0.54761904761904767"/>
    <n v="0.37380952380952381"/>
    <n v="19"/>
    <n v="6"/>
    <n v="0.31578947368421051"/>
  </r>
  <r>
    <x v="20"/>
    <s v="(s)"/>
    <n v="5"/>
    <n v="0.20699999999999999"/>
    <n v="0.2"/>
    <n v="0.55238095238095242"/>
    <n v="0.37619047619047619"/>
    <n v="17"/>
    <n v="5"/>
    <n v="0.29411764705882354"/>
  </r>
  <r>
    <x v="18"/>
    <s v="(s) Daniel Jacobs"/>
    <n v="4.5"/>
    <n v="0.19800000000000001"/>
    <n v="0.16"/>
    <n v="0.59523809523809523"/>
    <n v="0.37761904761904763"/>
    <n v="19"/>
    <n v="11"/>
    <n v="0.57894736842105265"/>
  </r>
  <r>
    <x v="33"/>
    <s v="(s)  Julia Mead"/>
    <n v="9.42"/>
    <n v="0.27800000000000002"/>
    <n v="0.55359999999999998"/>
    <n v="0.21428571428571419"/>
    <n v="0.38394285714285709"/>
    <n v="23"/>
    <n v="15"/>
    <n v="0.65217391304347827"/>
  </r>
  <r>
    <x v="32"/>
    <s v="(s) Nory Peters"/>
    <n v="5.83"/>
    <n v="0.217"/>
    <n v="0.26640000000000003"/>
    <n v="0.50476190476190486"/>
    <n v="0.38558095238095247"/>
    <n v="19"/>
    <n v="13"/>
    <n v="0.68421052631578949"/>
  </r>
  <r>
    <x v="6"/>
    <s v="(s) Katie"/>
    <n v="6.25"/>
    <n v="0.224"/>
    <n v="0.3"/>
    <n v="0.47142857142857142"/>
    <n v="0.38571428571428568"/>
    <n v="16"/>
    <n v="4"/>
    <n v="0.25"/>
  </r>
  <r>
    <x v="21"/>
    <s v="(s) Oliver Cussen"/>
    <n v="6.07"/>
    <n v="0.219"/>
    <n v="0.28560000000000002"/>
    <n v="0.49523809523809526"/>
    <n v="0.39041904761904767"/>
    <n v="18"/>
    <n v="7"/>
    <n v="0.3888888888888889"/>
  </r>
  <r>
    <x v="34"/>
    <s v="(s) Hakan Karateke"/>
    <n v="6.88"/>
    <n v="0.23200000000000001"/>
    <n v="0.35039999999999999"/>
    <n v="0.43333333333333335"/>
    <n v="0.3918666666666667"/>
    <n v="30"/>
    <n v="17"/>
    <n v="0.56666666666666665"/>
  </r>
  <r>
    <x v="35"/>
    <s v="(s)"/>
    <n v="5.83"/>
    <n v="0.214"/>
    <n v="0.26640000000000003"/>
    <n v="0.5190476190476192"/>
    <n v="0.39272380952380959"/>
    <n v="11"/>
    <n v="5"/>
    <n v="0.45454545454545453"/>
  </r>
  <r>
    <x v="0"/>
    <s v="(s) Rhiannon Auriemma"/>
    <n v="5"/>
    <n v="0.2"/>
    <n v="0.2"/>
    <n v="0.58571428571428574"/>
    <n v="0.3928571428571429"/>
    <n v="19"/>
    <n v="8"/>
    <n v="0.42105263157894735"/>
  </r>
  <r>
    <x v="36"/>
    <s v="(s) Michael Paul Rossi"/>
    <n v="5.76"/>
    <n v="0.21199999999999999"/>
    <n v="0.26079999999999998"/>
    <n v="0.52857142857142869"/>
    <n v="0.39468571428571431"/>
    <n v="49"/>
    <n v="25"/>
    <n v="0.51020408163265307"/>
  </r>
  <r>
    <x v="37"/>
    <s v="(s) Catherine Kearns"/>
    <n v="4.17"/>
    <n v="0.185"/>
    <n v="0.1336"/>
    <n v="0.65714285714285725"/>
    <n v="0.3953714285714286"/>
    <n v="25"/>
    <n v="6"/>
    <n v="0.24"/>
  </r>
  <r>
    <x v="0"/>
    <s v="(s) Red Tremmel"/>
    <n v="8.33"/>
    <n v="0.252"/>
    <n v="0.46639999999999998"/>
    <n v="0.33809523809523812"/>
    <n v="0.40224761904761908"/>
    <n v="19"/>
    <n v="6"/>
    <n v="0.31578947368421051"/>
  </r>
  <r>
    <x v="20"/>
    <s v="(s)"/>
    <n v="5.83"/>
    <n v="0.20899999999999999"/>
    <n v="0.26640000000000003"/>
    <n v="0.54285714285714293"/>
    <n v="0.40462857142857145"/>
    <n v="12"/>
    <n v="7"/>
    <n v="0.58333333333333337"/>
  </r>
  <r>
    <x v="20"/>
    <s v="(s)"/>
    <n v="9.5"/>
    <n v="0.26800000000000002"/>
    <n v="0.56000000000000005"/>
    <n v="0.26190476190476186"/>
    <n v="0.41095238095238096"/>
    <n v="17"/>
    <n v="6"/>
    <n v="0.35294117647058826"/>
  </r>
  <r>
    <x v="0"/>
    <s v="(s) Olivia Bustion"/>
    <n v="6.07"/>
    <n v="0.21"/>
    <n v="0.28560000000000002"/>
    <n v="0.53809523809523818"/>
    <n v="0.41184761904761913"/>
    <n v="19"/>
    <n v="7"/>
    <n v="0.36842105263157893"/>
  </r>
  <r>
    <x v="34"/>
    <s v="(s) Katherine Costello"/>
    <n v="7.5"/>
    <n v="0.23200000000000001"/>
    <n v="0.4"/>
    <n v="0.43333333333333335"/>
    <n v="0.41666666666666669"/>
    <n v="16"/>
    <n v="8"/>
    <n v="0.5"/>
  </r>
  <r>
    <x v="38"/>
    <s v="(s) Alina Shokareva"/>
    <n v="6.07"/>
    <n v="0.20699999999999999"/>
    <n v="0.28560000000000002"/>
    <n v="0.55238095238095242"/>
    <n v="0.41899047619047625"/>
    <n v="18"/>
    <n v="7"/>
    <n v="0.3888888888888889"/>
  </r>
  <r>
    <x v="3"/>
    <s v="(s) Rhiannon Auriemma"/>
    <n v="4.38"/>
    <n v="0.17699999999999999"/>
    <n v="0.15039999999999998"/>
    <n v="0.69523809523809532"/>
    <n v="0.42281904761904765"/>
    <n v="15"/>
    <n v="8"/>
    <n v="0.53333333333333333"/>
  </r>
  <r>
    <x v="39"/>
    <s v="(s) Mannat Johal"/>
    <n v="3.75"/>
    <n v="0.16600000000000001"/>
    <n v="0.1"/>
    <n v="0.74761904761904763"/>
    <n v="0.4238095238095238"/>
    <n v="19"/>
    <n v="8"/>
    <n v="0.42105263157894735"/>
  </r>
  <r>
    <x v="35"/>
    <s v="(s)"/>
    <n v="3.5"/>
    <n v="0.16"/>
    <n v="0.08"/>
    <n v="0.77619047619047621"/>
    <n v="0.42809523809523808"/>
    <n v="23"/>
    <n v="7"/>
    <n v="0.30434782608695654"/>
  </r>
  <r>
    <x v="0"/>
    <s v="(s) Stephanie Painter"/>
    <n v="6.73"/>
    <n v="0.21299999999999999"/>
    <n v="0.33840000000000003"/>
    <n v="0.52380952380952395"/>
    <n v="0.43110476190476199"/>
    <n v="18"/>
    <n v="13"/>
    <n v="0.72222222222222221"/>
  </r>
  <r>
    <x v="3"/>
    <s v="(s) Leah M. Feldman"/>
    <n v="5.36"/>
    <n v="0.189"/>
    <n v="0.22880000000000003"/>
    <n v="0.63809523809523816"/>
    <n v="0.43344761904761908"/>
    <n v="18"/>
    <n v="7"/>
    <n v="0.3888888888888889"/>
  </r>
  <r>
    <x v="6"/>
    <s v="(s)  Mannat"/>
    <n v="7.92"/>
    <n v="0.23200000000000001"/>
    <n v="0.43359999999999999"/>
    <n v="0.43333333333333335"/>
    <n v="0.43346666666666667"/>
    <n v="19"/>
    <n v="13"/>
    <n v="0.68421052631578949"/>
  </r>
  <r>
    <x v="39"/>
    <s v="(s) Mannat Johal"/>
    <n v="6.79"/>
    <n v="0.21299999999999999"/>
    <n v="0.34320000000000001"/>
    <n v="0.52380952380952395"/>
    <n v="0.43350476190476195"/>
    <n v="18"/>
    <n v="7"/>
    <n v="0.3888888888888889"/>
  </r>
  <r>
    <x v="32"/>
    <s v="(s) Ben Laurence"/>
    <n v="4.5"/>
    <n v="0.17399999999999999"/>
    <n v="0.16"/>
    <n v="0.70952380952380967"/>
    <n v="0.43476190476190485"/>
    <n v="19"/>
    <n v="10"/>
    <n v="0.52631578947368418"/>
  </r>
  <r>
    <x v="10"/>
    <s v="(s) Chiara Galli"/>
    <n v="4.17"/>
    <n v="0.16700000000000001"/>
    <n v="0.1336"/>
    <n v="0.74285714285714288"/>
    <n v="0.43822857142857141"/>
    <n v="19"/>
    <n v="9"/>
    <n v="0.47368421052631576"/>
  </r>
  <r>
    <x v="21"/>
    <s v="(s) Oliver Cussen"/>
    <n v="7.17"/>
    <n v="0.217"/>
    <n v="0.37359999999999999"/>
    <n v="0.50476190476190486"/>
    <n v="0.43918095238095245"/>
    <n v="20"/>
    <n v="16"/>
    <n v="0.8"/>
  </r>
  <r>
    <x v="40"/>
    <s v="(s) Ayodeji Olugbuyiro"/>
    <n v="5"/>
    <n v="0.18"/>
    <n v="0.2"/>
    <n v="0.68095238095238098"/>
    <n v="0.44047619047619047"/>
    <n v="19"/>
    <n v="6"/>
    <n v="0.31578947368421051"/>
  </r>
  <r>
    <x v="0"/>
    <s v="(s) Stephanie Painter"/>
    <n v="5.36"/>
    <n v="0.186"/>
    <n v="0.22880000000000003"/>
    <n v="0.65238095238095251"/>
    <n v="0.44059047619047625"/>
    <n v="19"/>
    <n v="8"/>
    <n v="0.42105263157894735"/>
  </r>
  <r>
    <x v="38"/>
    <s v="(s) Yaroslav Gorbachov"/>
    <n v="7.5"/>
    <n v="0.221"/>
    <n v="0.4"/>
    <n v="0.48571428571428577"/>
    <n v="0.44285714285714289"/>
    <n v="19"/>
    <n v="7"/>
    <n v="0.36842105263157893"/>
  </r>
  <r>
    <x v="3"/>
    <s v="(s) Red Tremmel"/>
    <n v="6.39"/>
    <n v="0.2"/>
    <n v="0.31119999999999998"/>
    <n v="0.58571428571428574"/>
    <n v="0.44845714285714289"/>
    <n v="19"/>
    <n v="9"/>
    <n v="0.47368421052631576"/>
  </r>
  <r>
    <x v="18"/>
    <s v="(s) Ada Palmer"/>
    <n v="5"/>
    <n v="0.17599999999999999"/>
    <n v="0.2"/>
    <n v="0.70000000000000007"/>
    <n v="0.45000000000000007"/>
    <n v="17"/>
    <n v="5"/>
    <n v="0.29411764705882354"/>
  </r>
  <r>
    <x v="41"/>
    <s v="(s)"/>
    <n v="6.5"/>
    <n v="0.20100000000000001"/>
    <n v="0.32"/>
    <n v="0.58095238095238089"/>
    <n v="0.45047619047619047"/>
    <n v="15"/>
    <n v="6"/>
    <n v="0.4"/>
  </r>
  <r>
    <x v="39"/>
    <s v="(s) Katie Hickerson"/>
    <n v="7.5"/>
    <n v="0.216"/>
    <n v="0.4"/>
    <n v="0.5095238095238096"/>
    <n v="0.45476190476190481"/>
    <n v="21"/>
    <n v="7"/>
    <n v="0.33333333333333331"/>
  </r>
  <r>
    <x v="6"/>
    <s v="(s)  Zoya"/>
    <n v="7.5"/>
    <n v="0.216"/>
    <n v="0.4"/>
    <n v="0.5095238095238096"/>
    <n v="0.45476190476190481"/>
    <n v="20"/>
    <n v="7"/>
    <n v="0.35"/>
  </r>
  <r>
    <x v="30"/>
    <s v="(s)  Tobias"/>
    <n v="6.59"/>
    <n v="0.2"/>
    <n v="0.32719999999999999"/>
    <n v="0.58571428571428574"/>
    <n v="0.45645714285714289"/>
    <n v="13"/>
    <n v="11"/>
    <n v="0.84615384615384615"/>
  </r>
  <r>
    <x v="11"/>
    <s v="(s)"/>
    <n v="5"/>
    <n v="0.17100000000000001"/>
    <n v="0.2"/>
    <n v="0.72380952380952379"/>
    <n v="0.46190476190476193"/>
    <n v="20"/>
    <n v="9"/>
    <n v="0.45"/>
  </r>
  <r>
    <x v="3"/>
    <s v="(s) Kris Trujillo"/>
    <n v="5"/>
    <n v="0.17"/>
    <n v="0.2"/>
    <n v="0.72857142857142854"/>
    <n v="0.4642857142857143"/>
    <n v="19"/>
    <n v="6"/>
    <n v="0.31578947368421051"/>
  </r>
  <r>
    <x v="41"/>
    <s v="(s)"/>
    <n v="6.67"/>
    <n v="0.19800000000000001"/>
    <n v="0.33360000000000001"/>
    <n v="0.59523809523809523"/>
    <n v="0.46441904761904762"/>
    <n v="21"/>
    <n v="12"/>
    <n v="0.5714285714285714"/>
  </r>
  <r>
    <x v="40"/>
    <s v="(s) Ayodeji Olugbuyiro"/>
    <n v="6.5"/>
    <n v="0.19500000000000001"/>
    <n v="0.32"/>
    <n v="0.60952380952380958"/>
    <n v="0.46476190476190482"/>
    <n v="18"/>
    <n v="6"/>
    <n v="0.33333333333333331"/>
  </r>
  <r>
    <x v="3"/>
    <s v="(s) Leah M. Feldman"/>
    <n v="6.59"/>
    <n v="0.193"/>
    <n v="0.32719999999999999"/>
    <n v="0.61904761904761907"/>
    <n v="0.4731238095238095"/>
    <n v="19"/>
    <n v="12"/>
    <n v="0.63157894736842102"/>
  </r>
  <r>
    <x v="41"/>
    <s v="(s)"/>
    <n v="8.2100000000000009"/>
    <n v="0.22"/>
    <n v="0.45680000000000009"/>
    <n v="0.49047619047619051"/>
    <n v="0.4736380952380953"/>
    <n v="19"/>
    <n v="8"/>
    <n v="0.42105263157894735"/>
  </r>
  <r>
    <x v="39"/>
    <s v="(s) Stephan Palmie"/>
    <n v="6.79"/>
    <n v="0.19500000000000001"/>
    <n v="0.34320000000000001"/>
    <n v="0.60952380952380958"/>
    <n v="0.47636190476190476"/>
    <n v="17"/>
    <n v="8"/>
    <n v="0.47058823529411764"/>
  </r>
  <r>
    <x v="42"/>
    <s v="(s) Ayodeji"/>
    <n v="7.5"/>
    <n v="0.20599999999999999"/>
    <n v="0.4"/>
    <n v="0.55714285714285727"/>
    <n v="0.47857142857142865"/>
    <n v="18"/>
    <n v="6"/>
    <n v="0.33333333333333331"/>
  </r>
  <r>
    <x v="23"/>
    <s v="(s) Larisa Reznik"/>
    <n v="5.68"/>
    <n v="0.17100000000000001"/>
    <n v="0.25439999999999996"/>
    <n v="0.72380952380952379"/>
    <n v="0.48910476190476188"/>
    <n v="25"/>
    <n v="11"/>
    <n v="0.44"/>
  </r>
  <r>
    <x v="42"/>
    <s v="(s) Ayodeji"/>
    <n v="4.17"/>
    <n v="0.14299999999999999"/>
    <n v="0.1336"/>
    <n v="0.85714285714285721"/>
    <n v="0.49537142857142857"/>
    <n v="19"/>
    <n v="7"/>
    <n v="0.36842105263157893"/>
  </r>
  <r>
    <x v="43"/>
    <s v="(s) Margaret"/>
    <n v="7.12"/>
    <n v="0.191"/>
    <n v="0.36959999999999998"/>
    <n v="0.62857142857142856"/>
    <n v="0.49908571428571424"/>
    <n v="21"/>
    <n v="14"/>
    <n v="0.66666666666666663"/>
  </r>
  <r>
    <x v="2"/>
    <s v="(s) Mohammad Hemyari"/>
    <n v="8.86"/>
    <n v="0.218"/>
    <n v="0.50879999999999992"/>
    <n v="0.5"/>
    <n v="0.50439999999999996"/>
    <n v="21"/>
    <n v="12"/>
    <n v="0.5714285714285714"/>
  </r>
  <r>
    <x v="11"/>
    <s v="(s) KyeongHee Choi"/>
    <n v="4"/>
    <n v="0.13600000000000001"/>
    <n v="0.12"/>
    <n v="0.89047619047619042"/>
    <n v="0.50523809523809526"/>
    <n v="23"/>
    <n v="11"/>
    <n v="0.47826086956521741"/>
  </r>
  <r>
    <x v="44"/>
    <s v="(s) Larisa Reznik"/>
    <n v="7.05"/>
    <n v="0.185"/>
    <n v="0.36399999999999999"/>
    <n v="0.65714285714285725"/>
    <n v="0.51057142857142868"/>
    <n v="26"/>
    <n v="12"/>
    <n v="0.46153846153846156"/>
  </r>
  <r>
    <x v="39"/>
    <s v="(s) Katie Hickerson"/>
    <n v="8.75"/>
    <n v="0.21099999999999999"/>
    <n v="0.5"/>
    <n v="0.53333333333333344"/>
    <n v="0.51666666666666672"/>
    <n v="17"/>
    <n v="5"/>
    <n v="0.29411764705882354"/>
  </r>
  <r>
    <x v="39"/>
    <s v="(s) Keegan Boyar"/>
    <n v="7"/>
    <n v="0.18"/>
    <n v="0.36"/>
    <n v="0.68095238095238098"/>
    <n v="0.52047619047619054"/>
    <n v="19"/>
    <n v="10"/>
    <n v="0.52631578947368418"/>
  </r>
  <r>
    <x v="10"/>
    <s v="(s) Savitri Kunze"/>
    <n v="4.5"/>
    <n v="0.13700000000000001"/>
    <n v="0.16"/>
    <n v="0.88571428571428568"/>
    <n v="0.5228571428571428"/>
    <n v="19"/>
    <n v="15"/>
    <n v="0.78947368421052633"/>
  </r>
  <r>
    <x v="7"/>
    <s v="(s) Eleonora Gilburd"/>
    <n v="9.64"/>
    <n v="0.222"/>
    <n v="0.57120000000000004"/>
    <n v="0.48095238095238102"/>
    <n v="0.52607619047619059"/>
    <n v="21"/>
    <n v="11"/>
    <n v="0.52380952380952384"/>
  </r>
  <r>
    <x v="11"/>
    <s v="(s)"/>
    <n v="7.5"/>
    <n v="0.184"/>
    <n v="0.4"/>
    <n v="0.661904761904762"/>
    <n v="0.53095238095238106"/>
    <n v="16"/>
    <n v="8"/>
    <n v="0.5"/>
  </r>
  <r>
    <x v="18"/>
    <s v="(s) Rachel Fulton Brown"/>
    <n v="6.67"/>
    <n v="0.17"/>
    <n v="0.33360000000000001"/>
    <n v="0.72857142857142854"/>
    <n v="0.53108571428571427"/>
    <n v="19"/>
    <n v="6"/>
    <n v="0.31578947368421051"/>
  </r>
  <r>
    <x v="7"/>
    <s v="(s) William Nickell"/>
    <n v="7.5"/>
    <n v="0.183"/>
    <n v="0.4"/>
    <n v="0.66666666666666674"/>
    <n v="0.53333333333333344"/>
    <n v="20"/>
    <n v="8"/>
    <n v="0.4"/>
  </r>
  <r>
    <x v="18"/>
    <s v="(s) Tristan Sharp"/>
    <n v="7.5"/>
    <n v="0.17899999999999999"/>
    <n v="0.4"/>
    <n v="0.68571428571428572"/>
    <n v="0.54285714285714293"/>
    <n v="17"/>
    <n v="8"/>
    <n v="0.47058823529411764"/>
  </r>
  <r>
    <x v="41"/>
    <s v="(s)"/>
    <n v="6.25"/>
    <n v="0.157"/>
    <n v="0.3"/>
    <n v="0.79047619047619055"/>
    <n v="0.5452380952380953"/>
    <n v="14"/>
    <n v="4"/>
    <n v="0.2857142857142857"/>
  </r>
  <r>
    <x v="37"/>
    <s v="(s) Jonathan Hall"/>
    <n v="12.5"/>
    <n v="0.25900000000000001"/>
    <n v="0.8"/>
    <n v="0.30476190476190479"/>
    <n v="0.55238095238095242"/>
    <n v="26"/>
    <n v="14"/>
    <n v="0.53846153846153844"/>
  </r>
  <r>
    <x v="44"/>
    <s v="(s)  Larisa Reznik"/>
    <n v="8.75"/>
    <n v="0.192"/>
    <n v="0.5"/>
    <n v="0.62380952380952381"/>
    <n v="0.56190476190476191"/>
    <n v="26"/>
    <n v="10"/>
    <n v="0.38461538461538464"/>
  </r>
  <r>
    <x v="41"/>
    <s v="(s)"/>
    <n v="8.5"/>
    <n v="0.187"/>
    <n v="0.48"/>
    <n v="0.64761904761904765"/>
    <n v="0.56380952380952376"/>
    <n v="19"/>
    <n v="7"/>
    <n v="0.36842105263157893"/>
  </r>
  <r>
    <x v="3"/>
    <s v="(s) Kris Trujillo"/>
    <n v="7.5"/>
    <n v="0.16900000000000001"/>
    <n v="0.4"/>
    <n v="0.73333333333333339"/>
    <n v="0.56666666666666665"/>
    <n v="19"/>
    <n v="5"/>
    <n v="0.26315789473684209"/>
  </r>
  <r>
    <x v="38"/>
    <s v="(s) Eleonora Gilburd"/>
    <n v="8.65"/>
    <n v="0.186"/>
    <n v="0.49200000000000005"/>
    <n v="0.65238095238095251"/>
    <n v="0.57219047619047625"/>
    <n v="20"/>
    <n v="13"/>
    <n v="0.65"/>
  </r>
  <r>
    <x v="21"/>
    <s v="(s)  Tristan Sharp"/>
    <n v="7.5"/>
    <n v="0.16300000000000001"/>
    <n v="0.4"/>
    <n v="0.76190476190476186"/>
    <n v="0.58095238095238089"/>
    <n v="16"/>
    <n v="6"/>
    <n v="0.375"/>
  </r>
  <r>
    <x v="38"/>
    <s v="(s) Yaroslav Gorbachov"/>
    <n v="8"/>
    <n v="0.16900000000000001"/>
    <n v="0.44"/>
    <n v="0.73333333333333339"/>
    <n v="0.58666666666666667"/>
    <n v="18"/>
    <n v="10"/>
    <n v="0.55555555555555558"/>
  </r>
  <r>
    <x v="21"/>
    <s v="(s) Rachel Fulton Brown"/>
    <n v="11.25"/>
    <n v="0.222"/>
    <n v="0.7"/>
    <n v="0.48095238095238102"/>
    <n v="0.59047619047619049"/>
    <n v="15"/>
    <n v="6"/>
    <n v="0.4"/>
  </r>
  <r>
    <x v="18"/>
    <s v="(s) Sheena Finnigan"/>
    <n v="8.75"/>
    <n v="0.17799999999999999"/>
    <n v="0.5"/>
    <n v="0.69047619047619058"/>
    <n v="0.59523809523809534"/>
    <n v="17"/>
    <n v="8"/>
    <n v="0.47058823529411764"/>
  </r>
  <r>
    <x v="20"/>
    <s v="(s)"/>
    <n v="7.5"/>
    <n v="0.157"/>
    <n v="0.4"/>
    <n v="0.79047619047619055"/>
    <n v="0.59523809523809534"/>
    <n v="16"/>
    <n v="8"/>
    <n v="0.5"/>
  </r>
  <r>
    <x v="3"/>
    <s v="(s) Rhiannon Auriemma"/>
    <n v="5.5"/>
    <n v="0.11799999999999999"/>
    <n v="0.24"/>
    <n v="0.97619047619047628"/>
    <n v="0.60809523809523813"/>
    <n v="21"/>
    <n v="6"/>
    <n v="0.2857142857142857"/>
  </r>
  <r>
    <x v="18"/>
    <s v="(s) Tristan Sharp"/>
    <n v="9.5"/>
    <n v="0.184"/>
    <n v="0.56000000000000005"/>
    <n v="0.661904761904762"/>
    <n v="0.61095238095238102"/>
    <n v="16"/>
    <n v="5"/>
    <n v="0.3125"/>
  </r>
  <r>
    <x v="32"/>
    <s v="(s) Savitri Kunze"/>
    <n v="6.67"/>
    <n v="0.13300000000000001"/>
    <n v="0.33360000000000001"/>
    <n v="0.90476190476190477"/>
    <n v="0.61918095238095239"/>
    <n v="19"/>
    <n v="12"/>
    <n v="0.63157894736842102"/>
  </r>
  <r>
    <x v="45"/>
    <s v="(s)  Brodwyn Fischer"/>
    <n v="10.56"/>
    <n v="0.19600000000000001"/>
    <n v="0.64480000000000004"/>
    <n v="0.60476190476190483"/>
    <n v="0.62478095238095244"/>
    <n v="57"/>
    <n v="20"/>
    <n v="0.35087719298245612"/>
  </r>
  <r>
    <x v="24"/>
    <s v="(s)"/>
    <n v="9.5"/>
    <n v="0.155"/>
    <n v="0.56000000000000005"/>
    <n v="0.8"/>
    <n v="0.68"/>
    <n v="17"/>
    <n v="5"/>
    <n v="0.29411764705882354"/>
  </r>
  <r>
    <x v="28"/>
    <s v="(s) Jordan Johansen"/>
    <n v="7.5"/>
    <n v="0.113"/>
    <n v="0.4"/>
    <n v="1"/>
    <n v="0.7"/>
    <n v="25"/>
    <n v="13"/>
    <n v="0.52"/>
  </r>
  <r>
    <x v="11"/>
    <s v="(s) Sunit Singh"/>
    <n v="13.21"/>
    <n v="0.17299999999999999"/>
    <n v="0.85680000000000012"/>
    <n v="0.71428571428571441"/>
    <n v="0.78554285714285732"/>
    <n v="18"/>
    <n v="11"/>
    <n v="0.61111111111111116"/>
  </r>
  <r>
    <x v="46"/>
    <s v="(s) Emilio Kouri"/>
    <n v="15"/>
    <n v="0.17799999999999999"/>
    <n v="1"/>
    <n v="0.69047619047619058"/>
    <n v="0.84523809523809534"/>
    <n v="78"/>
    <n v="44"/>
    <n v="0.5641025641025641"/>
  </r>
  <r>
    <x v="44"/>
    <s v="(s) Kenneth Moss"/>
    <n v="13.5"/>
    <n v="0.151"/>
    <n v="0.88"/>
    <n v="0.81904761904761914"/>
    <n v="0.84952380952380957"/>
    <n v="14"/>
    <n v="6"/>
    <n v="0.428571428571428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B9232D-9D84-6547-8D2F-91F654B181E3}" name="PivotTable1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E51" firstHeaderRow="0" firstDataRow="1" firstDataCol="1"/>
  <pivotFields count="10">
    <pivotField axis="axisRow" showAll="0" sortType="ascending">
      <items count="48">
        <item x="0"/>
        <item x="3"/>
        <item x="36"/>
        <item x="42"/>
        <item x="40"/>
        <item x="4"/>
        <item x="23"/>
        <item x="18"/>
        <item x="21"/>
        <item x="15"/>
        <item x="25"/>
        <item x="19"/>
        <item x="24"/>
        <item x="41"/>
        <item x="20"/>
        <item x="38"/>
        <item x="7"/>
        <item x="27"/>
        <item x="37"/>
        <item x="28"/>
        <item x="35"/>
        <item x="26"/>
        <item x="33"/>
        <item x="39"/>
        <item x="44"/>
        <item x="8"/>
        <item x="2"/>
        <item x="1"/>
        <item x="12"/>
        <item x="16"/>
        <item x="43"/>
        <item x="17"/>
        <item x="34"/>
        <item x="29"/>
        <item x="5"/>
        <item x="14"/>
        <item x="13"/>
        <item x="30"/>
        <item x="22"/>
        <item x="9"/>
        <item x="31"/>
        <item x="6"/>
        <item x="11"/>
        <item x="32"/>
        <item x="10"/>
        <item x="46"/>
        <item x="45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dataField="1" showAll="0"/>
    <pivotField dataField="1" numFmtId="164" showAll="0"/>
    <pivotField numFmtId="164" showAll="0"/>
    <pivotField numFmtId="164" showAll="0"/>
    <pivotField dataField="1" numFmtId="164" showAll="0"/>
    <pivotField showAll="0"/>
    <pivotField showAll="0"/>
    <pivotField dataField="1" numFmtId="9" showAll="0"/>
  </pivotFields>
  <rowFields count="1">
    <field x="0"/>
  </rowFields>
  <rowItems count="48">
    <i>
      <x v="5"/>
    </i>
    <i>
      <x v="27"/>
    </i>
    <i>
      <x v="34"/>
    </i>
    <i>
      <x v="25"/>
    </i>
    <i>
      <x v="39"/>
    </i>
    <i>
      <x v="28"/>
    </i>
    <i>
      <x v="36"/>
    </i>
    <i>
      <x v="35"/>
    </i>
    <i>
      <x v="29"/>
    </i>
    <i>
      <x v="9"/>
    </i>
    <i>
      <x v="31"/>
    </i>
    <i>
      <x v="11"/>
    </i>
    <i>
      <x/>
    </i>
    <i>
      <x v="26"/>
    </i>
    <i>
      <x v="38"/>
    </i>
    <i>
      <x v="41"/>
    </i>
    <i>
      <x v="10"/>
    </i>
    <i>
      <x v="21"/>
    </i>
    <i>
      <x v="17"/>
    </i>
    <i>
      <x v="33"/>
    </i>
    <i>
      <x v="40"/>
    </i>
    <i>
      <x v="44"/>
    </i>
    <i>
      <x v="22"/>
    </i>
    <i>
      <x v="2"/>
    </i>
    <i>
      <x v="6"/>
    </i>
    <i>
      <x v="16"/>
    </i>
    <i>
      <x v="32"/>
    </i>
    <i>
      <x v="20"/>
    </i>
    <i>
      <x v="37"/>
    </i>
    <i>
      <x v="14"/>
    </i>
    <i>
      <x v="1"/>
    </i>
    <i>
      <x v="8"/>
    </i>
    <i>
      <x v="43"/>
    </i>
    <i>
      <x v="4"/>
    </i>
    <i>
      <x v="12"/>
    </i>
    <i>
      <x v="7"/>
    </i>
    <i>
      <x v="23"/>
    </i>
    <i>
      <x v="18"/>
    </i>
    <i>
      <x v="3"/>
    </i>
    <i>
      <x v="30"/>
    </i>
    <i>
      <x v="13"/>
    </i>
    <i>
      <x v="15"/>
    </i>
    <i>
      <x v="42"/>
    </i>
    <i>
      <x v="19"/>
    </i>
    <i>
      <x v="46"/>
    </i>
    <i>
      <x v="24"/>
    </i>
    <i>
      <x v="4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Avg Hours" fld="2" subtotal="average" baseField="0" baseItem="0"/>
    <dataField name="Average of Sentiment Score" fld="3" subtotal="average" baseField="0" baseItem="0" numFmtId="164"/>
    <dataField name="Average of Response Rate" fld="9" subtotal="average" baseField="0" baseItem="0" numFmtId="9"/>
    <dataField name="Average of Final Difficulty Score" fld="6" subtotal="average" baseField="0" baseItem="0" numFmtId="164"/>
  </dataFields>
  <formats count="1">
    <format dxfId="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1CE4BE-C0A5-1247-BB63-7D4397F1F317}" name="PivotTable3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D21" firstHeaderRow="0" firstDataRow="1" firstDataCol="1"/>
  <pivotFields count="11">
    <pivotField showAll="0"/>
    <pivotField showAll="0"/>
    <pivotField dataField="1" showAll="0"/>
    <pivotField dataField="1" numFmtId="164" showAll="0"/>
    <pivotField numFmtId="164" showAll="0"/>
    <pivotField numFmtId="164" showAll="0"/>
    <pivotField dataField="1" numFmtId="164" showAll="0"/>
    <pivotField showAll="0"/>
    <pivotField showAll="0"/>
    <pivotField numFmtId="9" showAll="0"/>
    <pivotField axis="axisRow" showAll="0" sortType="ascending">
      <items count="18">
        <item x="12"/>
        <item x="3"/>
        <item x="15"/>
        <item x="8"/>
        <item x="4"/>
        <item x="14"/>
        <item x="0"/>
        <item x="9"/>
        <item x="11"/>
        <item x="7"/>
        <item x="2"/>
        <item x="13"/>
        <item x="6"/>
        <item x="1"/>
        <item x="10"/>
        <item x="5"/>
        <item x="16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</pivotFields>
  <rowFields count="1">
    <field x="10"/>
  </rowFields>
  <rowItems count="18">
    <i>
      <x v="12"/>
    </i>
    <i>
      <x v="1"/>
    </i>
    <i>
      <x v="13"/>
    </i>
    <i>
      <x v="8"/>
    </i>
    <i>
      <x v="3"/>
    </i>
    <i>
      <x v="5"/>
    </i>
    <i>
      <x v="6"/>
    </i>
    <i>
      <x v="16"/>
    </i>
    <i>
      <x v="9"/>
    </i>
    <i>
      <x v="10"/>
    </i>
    <i>
      <x v="4"/>
    </i>
    <i>
      <x v="7"/>
    </i>
    <i>
      <x v="15"/>
    </i>
    <i>
      <x/>
    </i>
    <i>
      <x v="2"/>
    </i>
    <i>
      <x v="14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vg Hours" fld="2" subtotal="average" baseField="0" baseItem="0"/>
    <dataField name="Average of Sentiment Score" fld="3" subtotal="average" baseField="0" baseItem="0" numFmtId="164"/>
    <dataField name="Average of Final Difficulty Score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09EBA-C2D5-B745-92F5-9E589B348CAD}">
  <dimension ref="A3:E51"/>
  <sheetViews>
    <sheetView workbookViewId="0">
      <selection activeCell="E31" sqref="E31"/>
    </sheetView>
  </sheetViews>
  <sheetFormatPr baseColWidth="10" defaultRowHeight="16" x14ac:dyDescent="0.2"/>
  <cols>
    <col min="1" max="1" width="13" bestFit="1" customWidth="1"/>
    <col min="2" max="2" width="18.6640625" bestFit="1" customWidth="1"/>
    <col min="3" max="3" width="24" bestFit="1" customWidth="1"/>
    <col min="4" max="4" width="22.83203125" bestFit="1" customWidth="1"/>
    <col min="5" max="5" width="27.6640625" bestFit="1" customWidth="1"/>
  </cols>
  <sheetData>
    <row r="3" spans="1:5" x14ac:dyDescent="0.2">
      <c r="A3" s="6" t="s">
        <v>141</v>
      </c>
      <c r="B3" t="s">
        <v>143</v>
      </c>
      <c r="C3" t="s">
        <v>144</v>
      </c>
      <c r="D3" t="s">
        <v>146</v>
      </c>
      <c r="E3" t="s">
        <v>145</v>
      </c>
    </row>
    <row r="4" spans="1:5" x14ac:dyDescent="0.2">
      <c r="A4" s="7" t="s">
        <v>126</v>
      </c>
      <c r="B4" s="8">
        <v>3.75</v>
      </c>
      <c r="C4" s="8">
        <v>0.25600000000000001</v>
      </c>
      <c r="D4" s="9">
        <v>0.25</v>
      </c>
      <c r="E4" s="8">
        <v>0.2095238095238095</v>
      </c>
    </row>
    <row r="5" spans="1:5" x14ac:dyDescent="0.2">
      <c r="A5" s="7" t="s">
        <v>47</v>
      </c>
      <c r="B5" s="8">
        <v>3</v>
      </c>
      <c r="C5" s="8">
        <v>0.24149999999999999</v>
      </c>
      <c r="D5" s="9">
        <v>0.41774891774891776</v>
      </c>
      <c r="E5" s="8">
        <v>0.21404761904761904</v>
      </c>
    </row>
    <row r="6" spans="1:5" x14ac:dyDescent="0.2">
      <c r="A6" s="7" t="s">
        <v>25</v>
      </c>
      <c r="B6" s="8">
        <v>4</v>
      </c>
      <c r="C6" s="8">
        <v>0.25700000000000001</v>
      </c>
      <c r="D6" s="9">
        <v>0.40625</v>
      </c>
      <c r="E6" s="8">
        <v>0.21714285714285714</v>
      </c>
    </row>
    <row r="7" spans="1:5" x14ac:dyDescent="0.2">
      <c r="A7" s="7" t="s">
        <v>115</v>
      </c>
      <c r="B7" s="8">
        <v>3.5</v>
      </c>
      <c r="C7" s="8">
        <v>0.24399999999999999</v>
      </c>
      <c r="D7" s="9">
        <v>0.4358974358974359</v>
      </c>
      <c r="E7" s="8">
        <v>0.2280952380952381</v>
      </c>
    </row>
    <row r="8" spans="1:5" x14ac:dyDescent="0.2">
      <c r="A8" s="7" t="s">
        <v>87</v>
      </c>
      <c r="B8" s="8">
        <v>4.38</v>
      </c>
      <c r="C8" s="8">
        <v>0.25600000000000001</v>
      </c>
      <c r="D8" s="9">
        <v>0.6</v>
      </c>
      <c r="E8" s="8">
        <v>0.2347238095238095</v>
      </c>
    </row>
    <row r="9" spans="1:5" x14ac:dyDescent="0.2">
      <c r="A9" s="7" t="s">
        <v>58</v>
      </c>
      <c r="B9" s="8">
        <v>4.29</v>
      </c>
      <c r="C9" s="8">
        <v>0.24</v>
      </c>
      <c r="D9" s="9">
        <v>0.60869565217391308</v>
      </c>
      <c r="E9" s="8">
        <v>0.26921904761904764</v>
      </c>
    </row>
    <row r="10" spans="1:5" x14ac:dyDescent="0.2">
      <c r="A10" s="7" t="s">
        <v>35</v>
      </c>
      <c r="B10" s="8">
        <v>2.95</v>
      </c>
      <c r="C10" s="8">
        <v>0.217</v>
      </c>
      <c r="D10" s="9">
        <v>0.5</v>
      </c>
      <c r="E10" s="8">
        <v>0.27038095238095244</v>
      </c>
    </row>
    <row r="11" spans="1:5" x14ac:dyDescent="0.2">
      <c r="A11" s="7" t="s">
        <v>81</v>
      </c>
      <c r="B11" s="8">
        <v>5</v>
      </c>
      <c r="C11" s="8">
        <v>0.247</v>
      </c>
      <c r="D11" s="9">
        <v>0.3</v>
      </c>
      <c r="E11" s="8">
        <v>0.28095238095238095</v>
      </c>
    </row>
    <row r="12" spans="1:5" x14ac:dyDescent="0.2">
      <c r="A12" s="7" t="s">
        <v>62</v>
      </c>
      <c r="B12" s="8">
        <v>3.75</v>
      </c>
      <c r="C12" s="8">
        <v>0.222</v>
      </c>
      <c r="D12" s="9">
        <v>0.3125</v>
      </c>
      <c r="E12" s="8">
        <v>0.2904761904761905</v>
      </c>
    </row>
    <row r="13" spans="1:5" x14ac:dyDescent="0.2">
      <c r="A13" s="7" t="s">
        <v>102</v>
      </c>
      <c r="B13" s="8">
        <v>6.665</v>
      </c>
      <c r="C13" s="8">
        <v>0.27</v>
      </c>
      <c r="D13" s="9">
        <v>0.27500000000000002</v>
      </c>
      <c r="E13" s="8">
        <v>0.29279047619047627</v>
      </c>
    </row>
    <row r="14" spans="1:5" x14ac:dyDescent="0.2">
      <c r="A14" s="7" t="s">
        <v>85</v>
      </c>
      <c r="B14" s="8">
        <v>3.69</v>
      </c>
      <c r="C14" s="8">
        <v>0.218</v>
      </c>
      <c r="D14" s="9">
        <v>0.54545454545454541</v>
      </c>
      <c r="E14" s="8">
        <v>0.29759999999999998</v>
      </c>
    </row>
    <row r="15" spans="1:5" x14ac:dyDescent="0.2">
      <c r="A15" s="7" t="s">
        <v>97</v>
      </c>
      <c r="B15" s="8">
        <v>3.33</v>
      </c>
      <c r="C15" s="8">
        <v>0.20300000000000001</v>
      </c>
      <c r="D15" s="9">
        <v>0.30434782608695654</v>
      </c>
      <c r="E15" s="8">
        <v>0.31891428571428571</v>
      </c>
    </row>
    <row r="16" spans="1:5" x14ac:dyDescent="0.2">
      <c r="A16" s="7" t="s">
        <v>22</v>
      </c>
      <c r="B16" s="8">
        <v>5.794545454545454</v>
      </c>
      <c r="C16" s="8">
        <v>0.23936363636363636</v>
      </c>
      <c r="D16" s="9">
        <v>0.47027113237639556</v>
      </c>
      <c r="E16" s="8">
        <v>0.33091601731601733</v>
      </c>
    </row>
    <row r="17" spans="1:5" x14ac:dyDescent="0.2">
      <c r="A17" s="7" t="s">
        <v>67</v>
      </c>
      <c r="B17" s="8">
        <v>6.0350000000000001</v>
      </c>
      <c r="C17" s="8">
        <v>0.24299999999999999</v>
      </c>
      <c r="D17" s="9">
        <v>0.43154761904761907</v>
      </c>
      <c r="E17" s="8">
        <v>0.33187619047619044</v>
      </c>
    </row>
    <row r="18" spans="1:5" x14ac:dyDescent="0.2">
      <c r="A18" s="7" t="s">
        <v>107</v>
      </c>
      <c r="B18" s="8">
        <v>6.14</v>
      </c>
      <c r="C18" s="8">
        <v>0.24199999999999999</v>
      </c>
      <c r="D18" s="9">
        <v>0.53846153846153844</v>
      </c>
      <c r="E18" s="8">
        <v>0.3384571428571429</v>
      </c>
    </row>
    <row r="19" spans="1:5" x14ac:dyDescent="0.2">
      <c r="A19" s="7" t="s">
        <v>16</v>
      </c>
      <c r="B19" s="8">
        <v>6.2071428571428573</v>
      </c>
      <c r="C19" s="8">
        <v>0.24</v>
      </c>
      <c r="D19" s="9">
        <v>0.41989419249481175</v>
      </c>
      <c r="E19" s="8">
        <v>0.34590476190476194</v>
      </c>
    </row>
    <row r="20" spans="1:5" x14ac:dyDescent="0.2">
      <c r="A20" s="7" t="s">
        <v>109</v>
      </c>
      <c r="B20" s="8">
        <v>2.5</v>
      </c>
      <c r="C20" s="8">
        <v>0.17499999999999999</v>
      </c>
      <c r="D20" s="9">
        <v>0.36363636363636365</v>
      </c>
      <c r="E20" s="8">
        <v>0.35238095238095246</v>
      </c>
    </row>
    <row r="21" spans="1:5" x14ac:dyDescent="0.2">
      <c r="A21" s="7" t="s">
        <v>90</v>
      </c>
      <c r="B21" s="8">
        <v>6.73</v>
      </c>
      <c r="C21" s="8">
        <v>0.245</v>
      </c>
      <c r="D21" s="9">
        <v>0.5714285714285714</v>
      </c>
      <c r="E21" s="8">
        <v>0.35491428571428574</v>
      </c>
    </row>
    <row r="22" spans="1:5" x14ac:dyDescent="0.2">
      <c r="A22" s="7" t="s">
        <v>83</v>
      </c>
      <c r="B22" s="8">
        <v>5.44</v>
      </c>
      <c r="C22" s="8">
        <v>0.222</v>
      </c>
      <c r="D22" s="9">
        <v>0.70833333333333337</v>
      </c>
      <c r="E22" s="8">
        <v>0.35807619047619055</v>
      </c>
    </row>
    <row r="23" spans="1:5" x14ac:dyDescent="0.2">
      <c r="A23" s="7" t="s">
        <v>110</v>
      </c>
      <c r="B23" s="8">
        <v>5.28</v>
      </c>
      <c r="C23" s="8">
        <v>0.216</v>
      </c>
      <c r="D23" s="9">
        <v>0.33333333333333331</v>
      </c>
      <c r="E23" s="8">
        <v>0.36596190476190482</v>
      </c>
    </row>
    <row r="24" spans="1:5" x14ac:dyDescent="0.2">
      <c r="A24" s="7" t="s">
        <v>131</v>
      </c>
      <c r="B24" s="8">
        <v>8.5</v>
      </c>
      <c r="C24" s="8">
        <v>0.26900000000000002</v>
      </c>
      <c r="D24" s="9">
        <v>0.42857142857142855</v>
      </c>
      <c r="E24" s="8">
        <v>0.36857142857142855</v>
      </c>
    </row>
    <row r="25" spans="1:5" x14ac:dyDescent="0.2">
      <c r="A25" s="7" t="s">
        <v>37</v>
      </c>
      <c r="B25" s="8">
        <v>4.0679999999999996</v>
      </c>
      <c r="C25" s="8">
        <v>0.18860000000000002</v>
      </c>
      <c r="D25" s="9">
        <v>0.59407341884122078</v>
      </c>
      <c r="E25" s="8">
        <v>0.38271999999999995</v>
      </c>
    </row>
    <row r="26" spans="1:5" x14ac:dyDescent="0.2">
      <c r="A26" s="7" t="s">
        <v>100</v>
      </c>
      <c r="B26" s="8">
        <v>9.42</v>
      </c>
      <c r="C26" s="8">
        <v>0.27800000000000002</v>
      </c>
      <c r="D26" s="9">
        <v>0.65217391304347827</v>
      </c>
      <c r="E26" s="8">
        <v>0.38394285714285709</v>
      </c>
    </row>
    <row r="27" spans="1:5" x14ac:dyDescent="0.2">
      <c r="A27" s="7" t="s">
        <v>56</v>
      </c>
      <c r="B27" s="8">
        <v>5.76</v>
      </c>
      <c r="C27" s="8">
        <v>0.21199999999999999</v>
      </c>
      <c r="D27" s="9">
        <v>0.51020408163265307</v>
      </c>
      <c r="E27" s="8">
        <v>0.39468571428571431</v>
      </c>
    </row>
    <row r="28" spans="1:5" x14ac:dyDescent="0.2">
      <c r="A28" s="7" t="s">
        <v>69</v>
      </c>
      <c r="B28" s="8">
        <v>5.2266666666666666</v>
      </c>
      <c r="C28" s="8">
        <v>0.20166666666666666</v>
      </c>
      <c r="D28" s="9">
        <v>0.4244444444444444</v>
      </c>
      <c r="E28" s="8">
        <v>0.39795555555555556</v>
      </c>
    </row>
    <row r="29" spans="1:5" x14ac:dyDescent="0.2">
      <c r="A29" s="7" t="s">
        <v>20</v>
      </c>
      <c r="B29" s="8">
        <v>6.5775000000000006</v>
      </c>
      <c r="C29" s="8">
        <v>0.22325</v>
      </c>
      <c r="D29" s="9">
        <v>0.37568922305764407</v>
      </c>
      <c r="E29" s="8">
        <v>0.40060000000000001</v>
      </c>
    </row>
    <row r="30" spans="1:5" x14ac:dyDescent="0.2">
      <c r="A30" s="7" t="s">
        <v>10</v>
      </c>
      <c r="B30" s="8">
        <v>7.1899999999999995</v>
      </c>
      <c r="C30" s="8">
        <v>0.23200000000000001</v>
      </c>
      <c r="D30" s="9">
        <v>0.53333333333333333</v>
      </c>
      <c r="E30" s="8">
        <v>0.40426666666666666</v>
      </c>
    </row>
    <row r="31" spans="1:5" x14ac:dyDescent="0.2">
      <c r="A31" s="7" t="s">
        <v>32</v>
      </c>
      <c r="B31" s="8">
        <v>4.665</v>
      </c>
      <c r="C31" s="8">
        <v>0.187</v>
      </c>
      <c r="D31" s="9">
        <v>0.37944664031620556</v>
      </c>
      <c r="E31" s="8">
        <v>0.41040952380952384</v>
      </c>
    </row>
    <row r="32" spans="1:5" x14ac:dyDescent="0.2">
      <c r="A32" s="7" t="s">
        <v>52</v>
      </c>
      <c r="B32" s="8">
        <v>6.6899999999999995</v>
      </c>
      <c r="C32" s="8">
        <v>0.2205</v>
      </c>
      <c r="D32" s="9">
        <v>0.6276223776223776</v>
      </c>
      <c r="E32" s="8">
        <v>0.4116476190476191</v>
      </c>
    </row>
    <row r="33" spans="1:5" x14ac:dyDescent="0.2">
      <c r="A33" s="7" t="s">
        <v>24</v>
      </c>
      <c r="B33" s="8">
        <v>6.8439999999999994</v>
      </c>
      <c r="C33" s="8">
        <v>0.21879999999999997</v>
      </c>
      <c r="D33" s="9">
        <v>0.43607843137254909</v>
      </c>
      <c r="E33" s="8">
        <v>0.42185523809523817</v>
      </c>
    </row>
    <row r="34" spans="1:5" x14ac:dyDescent="0.2">
      <c r="A34" s="7" t="s">
        <v>44</v>
      </c>
      <c r="B34" s="8">
        <v>6.1230000000000002</v>
      </c>
      <c r="C34" s="8">
        <v>0.2049</v>
      </c>
      <c r="D34" s="9">
        <v>0.45474101921470345</v>
      </c>
      <c r="E34" s="8">
        <v>0.42611047619047621</v>
      </c>
    </row>
    <row r="35" spans="1:5" x14ac:dyDescent="0.2">
      <c r="A35" s="7" t="s">
        <v>12</v>
      </c>
      <c r="B35" s="8">
        <v>6.9385714285714286</v>
      </c>
      <c r="C35" s="8">
        <v>0.21528571428571427</v>
      </c>
      <c r="D35" s="9">
        <v>0.41660997732426303</v>
      </c>
      <c r="E35" s="8">
        <v>0.43400544217687076</v>
      </c>
    </row>
    <row r="36" spans="1:5" x14ac:dyDescent="0.2">
      <c r="A36" s="7" t="s">
        <v>14</v>
      </c>
      <c r="B36" s="8">
        <v>6.125</v>
      </c>
      <c r="C36" s="8">
        <v>0.19400000000000001</v>
      </c>
      <c r="D36" s="9">
        <v>0.55263157894736836</v>
      </c>
      <c r="E36" s="8">
        <v>0.45214285714285718</v>
      </c>
    </row>
    <row r="37" spans="1:5" x14ac:dyDescent="0.2">
      <c r="A37" s="7" t="s">
        <v>75</v>
      </c>
      <c r="B37" s="8">
        <v>5.75</v>
      </c>
      <c r="C37" s="8">
        <v>0.1875</v>
      </c>
      <c r="D37" s="9">
        <v>0.32456140350877194</v>
      </c>
      <c r="E37" s="8">
        <v>0.45261904761904764</v>
      </c>
    </row>
    <row r="38" spans="1:5" x14ac:dyDescent="0.2">
      <c r="A38" s="7" t="s">
        <v>27</v>
      </c>
      <c r="B38" s="8">
        <v>7.169999999999999</v>
      </c>
      <c r="C38" s="8">
        <v>0.20833333333333334</v>
      </c>
      <c r="D38" s="9">
        <v>0.42581699346405233</v>
      </c>
      <c r="E38" s="8">
        <v>0.45981587301587307</v>
      </c>
    </row>
    <row r="39" spans="1:5" x14ac:dyDescent="0.2">
      <c r="A39" s="7" t="s">
        <v>41</v>
      </c>
      <c r="B39" s="8">
        <v>6.9024999999999999</v>
      </c>
      <c r="C39" s="8">
        <v>0.20149999999999998</v>
      </c>
      <c r="D39" s="9">
        <v>0.44347426470588236</v>
      </c>
      <c r="E39" s="8">
        <v>0.46538571428571435</v>
      </c>
    </row>
    <row r="40" spans="1:5" x14ac:dyDescent="0.2">
      <c r="A40" s="7" t="s">
        <v>59</v>
      </c>
      <c r="B40" s="8">
        <v>6.7633333333333328</v>
      </c>
      <c r="C40" s="8">
        <v>0.19683333333333333</v>
      </c>
      <c r="D40" s="9">
        <v>0.40571608760463246</v>
      </c>
      <c r="E40" s="8">
        <v>0.4709301587301587</v>
      </c>
    </row>
    <row r="41" spans="1:5" x14ac:dyDescent="0.2">
      <c r="A41" s="7" t="s">
        <v>65</v>
      </c>
      <c r="B41" s="8">
        <v>8.3350000000000009</v>
      </c>
      <c r="C41" s="8">
        <v>0.222</v>
      </c>
      <c r="D41" s="9">
        <v>0.38923076923076921</v>
      </c>
      <c r="E41" s="8">
        <v>0.47387619047619051</v>
      </c>
    </row>
    <row r="42" spans="1:5" x14ac:dyDescent="0.2">
      <c r="A42" s="7" t="s">
        <v>8</v>
      </c>
      <c r="B42" s="8">
        <v>5.835</v>
      </c>
      <c r="C42" s="8">
        <v>0.17449999999999999</v>
      </c>
      <c r="D42" s="9">
        <v>0.35087719298245612</v>
      </c>
      <c r="E42" s="8">
        <v>0.48697142857142861</v>
      </c>
    </row>
    <row r="43" spans="1:5" x14ac:dyDescent="0.2">
      <c r="A43" s="7" t="s">
        <v>71</v>
      </c>
      <c r="B43" s="8">
        <v>7.12</v>
      </c>
      <c r="C43" s="8">
        <v>0.191</v>
      </c>
      <c r="D43" s="9">
        <v>0.66666666666666663</v>
      </c>
      <c r="E43" s="8">
        <v>0.49908571428571424</v>
      </c>
    </row>
    <row r="44" spans="1:5" x14ac:dyDescent="0.2">
      <c r="A44" s="7" t="s">
        <v>34</v>
      </c>
      <c r="B44" s="8">
        <v>7.2260000000000009</v>
      </c>
      <c r="C44" s="8">
        <v>0.19260000000000002</v>
      </c>
      <c r="D44" s="9">
        <v>0.40932330827067664</v>
      </c>
      <c r="E44" s="8">
        <v>0.4995161904761905</v>
      </c>
    </row>
    <row r="45" spans="1:5" x14ac:dyDescent="0.2">
      <c r="A45" s="7" t="s">
        <v>28</v>
      </c>
      <c r="B45" s="8">
        <v>7.5549999999999997</v>
      </c>
      <c r="C45" s="8">
        <v>0.19575000000000001</v>
      </c>
      <c r="D45" s="9">
        <v>0.49071637426900588</v>
      </c>
      <c r="E45" s="8">
        <v>0.50517619047619045</v>
      </c>
    </row>
    <row r="46" spans="1:5" x14ac:dyDescent="0.2">
      <c r="A46" s="7" t="s">
        <v>6</v>
      </c>
      <c r="B46" s="8">
        <v>6.9420000000000002</v>
      </c>
      <c r="C46" s="8">
        <v>0.18360000000000004</v>
      </c>
      <c r="D46" s="9">
        <v>0.50787439613526575</v>
      </c>
      <c r="E46" s="8">
        <v>0.50958476190476198</v>
      </c>
    </row>
    <row r="47" spans="1:5" x14ac:dyDescent="0.2">
      <c r="A47" s="7" t="s">
        <v>33</v>
      </c>
      <c r="B47" s="8">
        <v>6.9249999999999998</v>
      </c>
      <c r="C47" s="8">
        <v>0.17399999999999999</v>
      </c>
      <c r="D47" s="9">
        <v>0.49214285714285716</v>
      </c>
      <c r="E47" s="8">
        <v>0.53176190476190477</v>
      </c>
    </row>
    <row r="48" spans="1:5" x14ac:dyDescent="0.2">
      <c r="A48" s="7" t="s">
        <v>113</v>
      </c>
      <c r="B48" s="8">
        <v>10.56</v>
      </c>
      <c r="C48" s="8">
        <v>0.19600000000000001</v>
      </c>
      <c r="D48" s="9">
        <v>0.35087719298245612</v>
      </c>
      <c r="E48" s="8">
        <v>0.62478095238095244</v>
      </c>
    </row>
    <row r="49" spans="1:5" x14ac:dyDescent="0.2">
      <c r="A49" s="7" t="s">
        <v>18</v>
      </c>
      <c r="B49" s="8">
        <v>9.7666666666666675</v>
      </c>
      <c r="C49" s="8">
        <v>0.17600000000000002</v>
      </c>
      <c r="D49" s="9">
        <v>0.42490842490842495</v>
      </c>
      <c r="E49" s="8">
        <v>0.64066666666666672</v>
      </c>
    </row>
    <row r="50" spans="1:5" x14ac:dyDescent="0.2">
      <c r="A50" s="7" t="s">
        <v>133</v>
      </c>
      <c r="B50" s="8">
        <v>15</v>
      </c>
      <c r="C50" s="8">
        <v>0.17799999999999999</v>
      </c>
      <c r="D50" s="9">
        <v>0.5641025641025641</v>
      </c>
      <c r="E50" s="8">
        <v>0.84523809523809534</v>
      </c>
    </row>
    <row r="51" spans="1:5" x14ac:dyDescent="0.2">
      <c r="A51" s="7" t="s">
        <v>142</v>
      </c>
      <c r="B51" s="11">
        <v>6.3280916030534335</v>
      </c>
      <c r="C51" s="8">
        <v>0.21280916030534353</v>
      </c>
      <c r="D51" s="9">
        <v>0.45183492531002306</v>
      </c>
      <c r="E51" s="8">
        <v>0.4154828062522718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5EF1B-6DAD-F94B-9B0E-79B9479003D0}">
  <dimension ref="A3:D21"/>
  <sheetViews>
    <sheetView tabSelected="1" workbookViewId="0">
      <selection activeCell="A14" sqref="A14"/>
    </sheetView>
  </sheetViews>
  <sheetFormatPr baseColWidth="10" defaultRowHeight="16" x14ac:dyDescent="0.2"/>
  <cols>
    <col min="1" max="1" width="37.83203125" bestFit="1" customWidth="1"/>
    <col min="2" max="2" width="18.6640625" bestFit="1" customWidth="1"/>
    <col min="3" max="3" width="24" bestFit="1" customWidth="1"/>
    <col min="4" max="4" width="27.6640625" bestFit="1" customWidth="1"/>
  </cols>
  <sheetData>
    <row r="3" spans="1:4" x14ac:dyDescent="0.2">
      <c r="A3" s="6" t="s">
        <v>141</v>
      </c>
      <c r="B3" t="s">
        <v>143</v>
      </c>
      <c r="C3" t="s">
        <v>144</v>
      </c>
      <c r="D3" t="s">
        <v>145</v>
      </c>
    </row>
    <row r="4" spans="1:4" x14ac:dyDescent="0.2">
      <c r="A4" s="7" t="s">
        <v>159</v>
      </c>
      <c r="B4" s="11">
        <v>6</v>
      </c>
      <c r="C4" s="8">
        <v>0.25650000000000001</v>
      </c>
      <c r="D4" s="8">
        <v>0.29833333333333334</v>
      </c>
    </row>
    <row r="5" spans="1:4" x14ac:dyDescent="0.2">
      <c r="A5" s="7" t="s">
        <v>162</v>
      </c>
      <c r="B5" s="11">
        <v>4.96</v>
      </c>
      <c r="C5" s="8">
        <v>0.234375</v>
      </c>
      <c r="D5" s="8">
        <v>0.30941190476190478</v>
      </c>
    </row>
    <row r="6" spans="1:4" x14ac:dyDescent="0.2">
      <c r="A6" s="7" t="s">
        <v>160</v>
      </c>
      <c r="B6" s="11">
        <v>5.2416666666666663</v>
      </c>
      <c r="C6" s="8">
        <v>0.23499999999999999</v>
      </c>
      <c r="D6" s="8">
        <v>0.31919047619047619</v>
      </c>
    </row>
    <row r="7" spans="1:4" x14ac:dyDescent="0.2">
      <c r="A7" s="7" t="s">
        <v>153</v>
      </c>
      <c r="B7" s="11">
        <v>2.915</v>
      </c>
      <c r="C7" s="8">
        <v>0.189</v>
      </c>
      <c r="D7" s="8">
        <v>0.33564761904761908</v>
      </c>
    </row>
    <row r="8" spans="1:4" x14ac:dyDescent="0.2">
      <c r="A8" s="7" t="s">
        <v>161</v>
      </c>
      <c r="B8" s="11">
        <v>5.0533333333333337</v>
      </c>
      <c r="C8" s="8">
        <v>0.21766666666666667</v>
      </c>
      <c r="D8" s="8">
        <v>0.35292698412698414</v>
      </c>
    </row>
    <row r="9" spans="1:4" x14ac:dyDescent="0.2">
      <c r="A9" s="7" t="s">
        <v>157</v>
      </c>
      <c r="B9" s="11">
        <v>8.0749999999999993</v>
      </c>
      <c r="C9" s="8">
        <v>0.26150000000000001</v>
      </c>
      <c r="D9" s="8">
        <v>0.36942857142857144</v>
      </c>
    </row>
    <row r="10" spans="1:4" x14ac:dyDescent="0.2">
      <c r="A10" s="7" t="s">
        <v>148</v>
      </c>
      <c r="B10" s="11">
        <v>5.9509523809523808</v>
      </c>
      <c r="C10" s="8">
        <v>0.22295238095238093</v>
      </c>
      <c r="D10" s="8">
        <v>0.37624671201814069</v>
      </c>
    </row>
    <row r="11" spans="1:4" x14ac:dyDescent="0.2">
      <c r="A11" s="7" t="s">
        <v>149</v>
      </c>
      <c r="B11" s="11">
        <v>5.76</v>
      </c>
      <c r="C11" s="8">
        <v>0.21199999999999999</v>
      </c>
      <c r="D11" s="8">
        <v>0.39468571428571431</v>
      </c>
    </row>
    <row r="12" spans="1:4" x14ac:dyDescent="0.2">
      <c r="A12" s="7" t="s">
        <v>164</v>
      </c>
      <c r="B12" s="11">
        <v>4.982222222222223</v>
      </c>
      <c r="C12" s="8">
        <v>0.191</v>
      </c>
      <c r="D12" s="8">
        <v>0.41357460317460315</v>
      </c>
    </row>
    <row r="13" spans="1:4" x14ac:dyDescent="0.2">
      <c r="A13" s="7" t="s">
        <v>150</v>
      </c>
      <c r="B13" s="11">
        <v>5.3840000000000003</v>
      </c>
      <c r="C13" s="8">
        <v>0.19600000000000001</v>
      </c>
      <c r="D13" s="8">
        <v>0.41774095238095238</v>
      </c>
    </row>
    <row r="14" spans="1:4" x14ac:dyDescent="0.2">
      <c r="A14" s="7" t="s">
        <v>158</v>
      </c>
      <c r="B14" s="11">
        <v>6.5966666666666676</v>
      </c>
      <c r="C14" s="8">
        <v>0.20994444444444446</v>
      </c>
      <c r="D14" s="8">
        <v>0.4330465608465609</v>
      </c>
    </row>
    <row r="15" spans="1:4" x14ac:dyDescent="0.2">
      <c r="A15" s="7" t="s">
        <v>152</v>
      </c>
      <c r="B15" s="11">
        <v>6.8793749999999996</v>
      </c>
      <c r="C15" s="8">
        <v>0.21156250000000001</v>
      </c>
      <c r="D15" s="8">
        <v>0.44050238095238087</v>
      </c>
    </row>
    <row r="16" spans="1:4" x14ac:dyDescent="0.2">
      <c r="A16" s="7" t="s">
        <v>155</v>
      </c>
      <c r="B16" s="11">
        <v>6.8855555555555554</v>
      </c>
      <c r="C16" s="8">
        <v>0.21088888888888888</v>
      </c>
      <c r="D16" s="8">
        <v>0.44235343915343922</v>
      </c>
    </row>
    <row r="17" spans="1:4" x14ac:dyDescent="0.2">
      <c r="A17" s="7" t="s">
        <v>154</v>
      </c>
      <c r="B17" s="11">
        <v>7.0661538461538465</v>
      </c>
      <c r="C17" s="8">
        <v>0.2063076923076923</v>
      </c>
      <c r="D17" s="8">
        <v>0.4604849816849817</v>
      </c>
    </row>
    <row r="18" spans="1:4" x14ac:dyDescent="0.2">
      <c r="A18" s="7" t="s">
        <v>156</v>
      </c>
      <c r="B18" s="11">
        <v>6.6416666666666666</v>
      </c>
      <c r="C18" s="8">
        <v>0.19433333333333333</v>
      </c>
      <c r="D18" s="8">
        <v>0.47201587301587306</v>
      </c>
    </row>
    <row r="19" spans="1:4" x14ac:dyDescent="0.2">
      <c r="A19" s="7" t="s">
        <v>151</v>
      </c>
      <c r="B19" s="11">
        <v>7.4328571428571433</v>
      </c>
      <c r="C19" s="8">
        <v>0.20100000000000001</v>
      </c>
      <c r="D19" s="8">
        <v>0.48779047619047616</v>
      </c>
    </row>
    <row r="20" spans="1:4" x14ac:dyDescent="0.2">
      <c r="A20" s="7" t="s">
        <v>163</v>
      </c>
      <c r="B20" s="11">
        <v>10.566666666666666</v>
      </c>
      <c r="C20" s="8">
        <v>0.20533333333333334</v>
      </c>
      <c r="D20" s="8">
        <v>0.60282539682539682</v>
      </c>
    </row>
    <row r="21" spans="1:4" x14ac:dyDescent="0.2">
      <c r="A21" s="7" t="s">
        <v>142</v>
      </c>
      <c r="B21" s="11">
        <v>6.3280916030534335</v>
      </c>
      <c r="C21" s="8">
        <v>0.2128091603053435</v>
      </c>
      <c r="D21" s="8">
        <v>0.41548280625227202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76A47-1531-5042-9DA8-663A71015F37}">
  <dimension ref="A1:K132"/>
  <sheetViews>
    <sheetView zoomScale="75" workbookViewId="0">
      <selection activeCell="F19" sqref="F19"/>
    </sheetView>
  </sheetViews>
  <sheetFormatPr baseColWidth="10" defaultRowHeight="22" x14ac:dyDescent="0.3"/>
  <cols>
    <col min="1" max="1" width="21.83203125" style="1" customWidth="1"/>
    <col min="2" max="2" width="23.5" style="1" customWidth="1"/>
    <col min="3" max="3" width="25.5" style="1" customWidth="1"/>
    <col min="4" max="4" width="23" style="1" customWidth="1"/>
    <col min="5" max="5" width="20.83203125" style="1" customWidth="1"/>
    <col min="6" max="6" width="20.5" style="1" customWidth="1"/>
    <col min="7" max="7" width="25.5" style="1" customWidth="1"/>
    <col min="8" max="8" width="21.5" style="1" customWidth="1"/>
    <col min="9" max="9" width="23.83203125" style="1" customWidth="1"/>
    <col min="10" max="10" width="20.5" style="4" customWidth="1"/>
    <col min="11" max="11" width="36" style="1" customWidth="1"/>
    <col min="12" max="16384" width="10.83203125" style="1"/>
  </cols>
  <sheetData>
    <row r="1" spans="1:11" s="2" customFormat="1" x14ac:dyDescent="0.3">
      <c r="A1" s="2" t="s">
        <v>0</v>
      </c>
      <c r="B1" s="2" t="s">
        <v>1</v>
      </c>
      <c r="C1" s="2" t="s">
        <v>4</v>
      </c>
      <c r="D1" s="2" t="s">
        <v>5</v>
      </c>
      <c r="E1" s="2" t="s">
        <v>137</v>
      </c>
      <c r="F1" s="2" t="s">
        <v>138</v>
      </c>
      <c r="G1" s="2" t="s">
        <v>139</v>
      </c>
      <c r="H1" s="2" t="s">
        <v>2</v>
      </c>
      <c r="I1" s="2" t="s">
        <v>3</v>
      </c>
      <c r="J1" s="3" t="s">
        <v>140</v>
      </c>
      <c r="K1" s="2" t="s">
        <v>147</v>
      </c>
    </row>
    <row r="2" spans="1:11" x14ac:dyDescent="0.3">
      <c r="A2" s="1" t="s">
        <v>22</v>
      </c>
      <c r="B2" s="1" t="s">
        <v>136</v>
      </c>
      <c r="C2" s="1">
        <v>3.75</v>
      </c>
      <c r="D2" s="5">
        <v>0.32300000000000001</v>
      </c>
      <c r="E2" s="5">
        <f t="shared" ref="E2:E33" si="0">(C2 - MIN(C:C)) / (MAX(C:C) - MIN(C:C))</f>
        <v>0.1</v>
      </c>
      <c r="F2" s="5">
        <f t="shared" ref="F2:F33" si="1">1 - ((D2 - MIN(D:D)) / (MAX(D:D) - MIN(D:D)))</f>
        <v>0</v>
      </c>
      <c r="G2" s="5">
        <f t="shared" ref="G2:G33" si="2">0.5 *E2+0.5*F2</f>
        <v>0.05</v>
      </c>
      <c r="H2" s="1">
        <v>19</v>
      </c>
      <c r="I2" s="1">
        <v>14</v>
      </c>
      <c r="J2" s="4">
        <f t="shared" ref="J2:J33" si="3">I2/H2</f>
        <v>0.73684210526315785</v>
      </c>
      <c r="K2" s="1" t="s">
        <v>148</v>
      </c>
    </row>
    <row r="3" spans="1:11" x14ac:dyDescent="0.3">
      <c r="A3" s="1" t="s">
        <v>47</v>
      </c>
      <c r="B3" s="1" t="s">
        <v>112</v>
      </c>
      <c r="C3" s="1">
        <v>2.5</v>
      </c>
      <c r="D3" s="5">
        <v>0.26400000000000001</v>
      </c>
      <c r="E3" s="5">
        <f t="shared" si="0"/>
        <v>0</v>
      </c>
      <c r="F3" s="5">
        <f t="shared" si="1"/>
        <v>0.28095238095238095</v>
      </c>
      <c r="G3" s="5">
        <f t="shared" si="2"/>
        <v>0.14047619047619048</v>
      </c>
      <c r="H3" s="1">
        <v>21</v>
      </c>
      <c r="I3" s="1">
        <v>8</v>
      </c>
      <c r="J3" s="4">
        <f t="shared" si="3"/>
        <v>0.38095238095238093</v>
      </c>
      <c r="K3" s="10" t="s">
        <v>160</v>
      </c>
    </row>
    <row r="4" spans="1:11" x14ac:dyDescent="0.3">
      <c r="A4" s="1" t="s">
        <v>67</v>
      </c>
      <c r="B4" s="1" t="s">
        <v>68</v>
      </c>
      <c r="C4" s="1">
        <v>3.21</v>
      </c>
      <c r="D4" s="5">
        <v>0.26800000000000002</v>
      </c>
      <c r="E4" s="5">
        <f t="shared" si="0"/>
        <v>5.6799999999999996E-2</v>
      </c>
      <c r="F4" s="5">
        <f t="shared" si="1"/>
        <v>0.26190476190476186</v>
      </c>
      <c r="G4" s="5">
        <f t="shared" si="2"/>
        <v>0.15935238095238094</v>
      </c>
      <c r="H4" s="1">
        <v>24</v>
      </c>
      <c r="I4" s="1">
        <v>7</v>
      </c>
      <c r="J4" s="4">
        <f t="shared" si="3"/>
        <v>0.29166666666666669</v>
      </c>
      <c r="K4" s="1" t="s">
        <v>160</v>
      </c>
    </row>
    <row r="5" spans="1:11" x14ac:dyDescent="0.3">
      <c r="A5" s="1" t="s">
        <v>44</v>
      </c>
      <c r="B5" s="1" t="s">
        <v>123</v>
      </c>
      <c r="C5" s="1">
        <v>6.07</v>
      </c>
      <c r="D5" s="5">
        <v>0.29499999999999998</v>
      </c>
      <c r="E5" s="5">
        <f t="shared" si="0"/>
        <v>0.28560000000000002</v>
      </c>
      <c r="F5" s="5">
        <f t="shared" si="1"/>
        <v>0.13333333333333341</v>
      </c>
      <c r="G5" s="5">
        <f t="shared" si="2"/>
        <v>0.20946666666666672</v>
      </c>
      <c r="H5" s="1">
        <v>19</v>
      </c>
      <c r="I5" s="1">
        <v>8</v>
      </c>
      <c r="J5" s="4">
        <f t="shared" si="3"/>
        <v>0.42105263157894735</v>
      </c>
      <c r="K5" s="1" t="s">
        <v>148</v>
      </c>
    </row>
    <row r="6" spans="1:11" x14ac:dyDescent="0.3">
      <c r="A6" s="1" t="s">
        <v>126</v>
      </c>
      <c r="B6" s="1" t="s">
        <v>127</v>
      </c>
      <c r="C6" s="1">
        <v>3.75</v>
      </c>
      <c r="D6" s="5">
        <v>0.25600000000000001</v>
      </c>
      <c r="E6" s="5">
        <f t="shared" si="0"/>
        <v>0.1</v>
      </c>
      <c r="F6" s="5">
        <f t="shared" si="1"/>
        <v>0.31904761904761902</v>
      </c>
      <c r="G6" s="5">
        <f t="shared" si="2"/>
        <v>0.2095238095238095</v>
      </c>
      <c r="H6" s="1">
        <v>16</v>
      </c>
      <c r="I6" s="1">
        <v>4</v>
      </c>
      <c r="J6" s="4">
        <f t="shared" si="3"/>
        <v>0.25</v>
      </c>
      <c r="K6" s="1" t="s">
        <v>150</v>
      </c>
    </row>
    <row r="7" spans="1:11" x14ac:dyDescent="0.3">
      <c r="A7" s="1" t="s">
        <v>25</v>
      </c>
      <c r="B7" s="1" t="s">
        <v>26</v>
      </c>
      <c r="C7" s="1">
        <v>4</v>
      </c>
      <c r="D7" s="5">
        <v>0.25700000000000001</v>
      </c>
      <c r="E7" s="5">
        <f t="shared" si="0"/>
        <v>0.12</v>
      </c>
      <c r="F7" s="5">
        <f t="shared" si="1"/>
        <v>0.31428571428571428</v>
      </c>
      <c r="G7" s="5">
        <f t="shared" si="2"/>
        <v>0.21714285714285714</v>
      </c>
      <c r="H7" s="1">
        <v>32</v>
      </c>
      <c r="I7" s="1">
        <v>13</v>
      </c>
      <c r="J7" s="4">
        <f t="shared" si="3"/>
        <v>0.40625</v>
      </c>
      <c r="K7" s="10" t="s">
        <v>162</v>
      </c>
    </row>
    <row r="8" spans="1:11" x14ac:dyDescent="0.3">
      <c r="A8" s="1" t="s">
        <v>16</v>
      </c>
      <c r="B8" s="1" t="s">
        <v>17</v>
      </c>
      <c r="C8" s="1">
        <v>5.5</v>
      </c>
      <c r="D8" s="5">
        <v>0.28199999999999997</v>
      </c>
      <c r="E8" s="5">
        <f t="shared" si="0"/>
        <v>0.24</v>
      </c>
      <c r="F8" s="5">
        <f t="shared" si="1"/>
        <v>0.19523809523809543</v>
      </c>
      <c r="G8" s="5">
        <f t="shared" si="2"/>
        <v>0.21761904761904771</v>
      </c>
      <c r="H8" s="1">
        <v>19</v>
      </c>
      <c r="I8" s="1">
        <v>10</v>
      </c>
      <c r="J8" s="4">
        <f t="shared" si="3"/>
        <v>0.52631578947368418</v>
      </c>
      <c r="K8" s="1" t="s">
        <v>158</v>
      </c>
    </row>
    <row r="9" spans="1:11" x14ac:dyDescent="0.3">
      <c r="A9" s="1" t="s">
        <v>20</v>
      </c>
      <c r="B9" s="1" t="s">
        <v>39</v>
      </c>
      <c r="C9" s="1">
        <v>5</v>
      </c>
      <c r="D9" s="5">
        <v>0.27</v>
      </c>
      <c r="E9" s="5">
        <f t="shared" si="0"/>
        <v>0.2</v>
      </c>
      <c r="F9" s="5">
        <f t="shared" si="1"/>
        <v>0.25238095238095226</v>
      </c>
      <c r="G9" s="5">
        <f t="shared" si="2"/>
        <v>0.22619047619047614</v>
      </c>
      <c r="H9" s="1">
        <v>19</v>
      </c>
      <c r="I9" s="1">
        <v>5</v>
      </c>
      <c r="J9" s="4">
        <f t="shared" si="3"/>
        <v>0.26315789473684209</v>
      </c>
      <c r="K9" s="1" t="s">
        <v>155</v>
      </c>
    </row>
    <row r="10" spans="1:11" x14ac:dyDescent="0.3">
      <c r="A10" s="1" t="s">
        <v>115</v>
      </c>
      <c r="B10" s="1" t="s">
        <v>116</v>
      </c>
      <c r="C10" s="1">
        <v>3.5</v>
      </c>
      <c r="D10" s="5">
        <v>0.24399999999999999</v>
      </c>
      <c r="E10" s="5">
        <f t="shared" si="0"/>
        <v>0.08</v>
      </c>
      <c r="F10" s="5">
        <f t="shared" si="1"/>
        <v>0.37619047619047619</v>
      </c>
      <c r="G10" s="5">
        <f t="shared" si="2"/>
        <v>0.2280952380952381</v>
      </c>
      <c r="H10" s="1">
        <v>39</v>
      </c>
      <c r="I10" s="1">
        <v>17</v>
      </c>
      <c r="J10" s="4">
        <f t="shared" si="3"/>
        <v>0.4358974358974359</v>
      </c>
      <c r="K10" s="10" t="s">
        <v>159</v>
      </c>
    </row>
    <row r="11" spans="1:11" x14ac:dyDescent="0.3">
      <c r="A11" s="1" t="s">
        <v>87</v>
      </c>
      <c r="B11" s="1" t="s">
        <v>88</v>
      </c>
      <c r="C11" s="1">
        <v>4.38</v>
      </c>
      <c r="D11" s="5">
        <v>0.25600000000000001</v>
      </c>
      <c r="E11" s="5">
        <f t="shared" si="0"/>
        <v>0.15039999999999998</v>
      </c>
      <c r="F11" s="5">
        <f t="shared" si="1"/>
        <v>0.31904761904761902</v>
      </c>
      <c r="G11" s="5">
        <f t="shared" si="2"/>
        <v>0.2347238095238095</v>
      </c>
      <c r="H11" s="1">
        <v>15</v>
      </c>
      <c r="I11" s="1">
        <v>9</v>
      </c>
      <c r="J11" s="4">
        <f t="shared" si="3"/>
        <v>0.6</v>
      </c>
      <c r="K11" s="10" t="s">
        <v>162</v>
      </c>
    </row>
    <row r="12" spans="1:11" x14ac:dyDescent="0.3">
      <c r="A12" s="1" t="s">
        <v>16</v>
      </c>
      <c r="B12" s="1" t="s">
        <v>93</v>
      </c>
      <c r="C12" s="1">
        <v>5.28</v>
      </c>
      <c r="D12" s="5">
        <v>0.26800000000000002</v>
      </c>
      <c r="E12" s="5">
        <f t="shared" si="0"/>
        <v>0.22240000000000001</v>
      </c>
      <c r="F12" s="5">
        <f t="shared" si="1"/>
        <v>0.26190476190476186</v>
      </c>
      <c r="G12" s="5">
        <f t="shared" si="2"/>
        <v>0.24215238095238095</v>
      </c>
      <c r="H12" s="1">
        <v>20</v>
      </c>
      <c r="I12" s="1">
        <v>9</v>
      </c>
      <c r="J12" s="4">
        <f t="shared" si="3"/>
        <v>0.45</v>
      </c>
      <c r="K12" s="1" t="s">
        <v>158</v>
      </c>
    </row>
    <row r="13" spans="1:11" x14ac:dyDescent="0.3">
      <c r="A13" s="1" t="s">
        <v>37</v>
      </c>
      <c r="B13" s="1" t="s">
        <v>121</v>
      </c>
      <c r="C13" s="1">
        <v>2.5</v>
      </c>
      <c r="D13" s="5">
        <v>0.221</v>
      </c>
      <c r="E13" s="5">
        <f t="shared" si="0"/>
        <v>0</v>
      </c>
      <c r="F13" s="5">
        <f t="shared" si="1"/>
        <v>0.48571428571428577</v>
      </c>
      <c r="G13" s="5">
        <f t="shared" si="2"/>
        <v>0.24285714285714288</v>
      </c>
      <c r="H13" s="1">
        <v>17</v>
      </c>
      <c r="I13" s="1">
        <v>11</v>
      </c>
      <c r="J13" s="4">
        <f t="shared" si="3"/>
        <v>0.6470588235294118</v>
      </c>
      <c r="K13" s="1" t="s">
        <v>164</v>
      </c>
    </row>
    <row r="14" spans="1:11" x14ac:dyDescent="0.3">
      <c r="A14" s="1" t="s">
        <v>22</v>
      </c>
      <c r="B14" s="1" t="s">
        <v>31</v>
      </c>
      <c r="C14" s="1">
        <v>3.93</v>
      </c>
      <c r="D14" s="5">
        <v>0.24199999999999999</v>
      </c>
      <c r="E14" s="5">
        <f t="shared" si="0"/>
        <v>0.11440000000000002</v>
      </c>
      <c r="F14" s="5">
        <f t="shared" si="1"/>
        <v>0.38571428571428579</v>
      </c>
      <c r="G14" s="5">
        <f t="shared" si="2"/>
        <v>0.25005714285714292</v>
      </c>
      <c r="H14" s="1">
        <v>18</v>
      </c>
      <c r="I14" s="1">
        <v>8</v>
      </c>
      <c r="J14" s="4">
        <f t="shared" si="3"/>
        <v>0.44444444444444442</v>
      </c>
      <c r="K14" s="1" t="s">
        <v>148</v>
      </c>
    </row>
    <row r="15" spans="1:11" x14ac:dyDescent="0.3">
      <c r="A15" s="1" t="s">
        <v>6</v>
      </c>
      <c r="B15" s="1" t="s">
        <v>7</v>
      </c>
      <c r="C15" s="1">
        <v>5</v>
      </c>
      <c r="D15" s="5">
        <v>0.254</v>
      </c>
      <c r="E15" s="5">
        <f t="shared" si="0"/>
        <v>0.2</v>
      </c>
      <c r="F15" s="5">
        <f t="shared" si="1"/>
        <v>0.32857142857142851</v>
      </c>
      <c r="G15" s="5">
        <f t="shared" si="2"/>
        <v>0.26428571428571423</v>
      </c>
      <c r="H15" s="1">
        <v>18</v>
      </c>
      <c r="I15" s="1">
        <v>9</v>
      </c>
      <c r="J15" s="4">
        <f t="shared" si="3"/>
        <v>0.5</v>
      </c>
      <c r="K15" s="1" t="s">
        <v>158</v>
      </c>
    </row>
    <row r="16" spans="1:11" x14ac:dyDescent="0.3">
      <c r="A16" s="1" t="s">
        <v>58</v>
      </c>
      <c r="B16" s="1" t="s">
        <v>7</v>
      </c>
      <c r="C16" s="1">
        <v>4.29</v>
      </c>
      <c r="D16" s="5">
        <v>0.24</v>
      </c>
      <c r="E16" s="5">
        <f t="shared" si="0"/>
        <v>0.14319999999999999</v>
      </c>
      <c r="F16" s="5">
        <f t="shared" si="1"/>
        <v>0.39523809523809528</v>
      </c>
      <c r="G16" s="5">
        <f t="shared" si="2"/>
        <v>0.26921904761904764</v>
      </c>
      <c r="H16" s="1">
        <v>23</v>
      </c>
      <c r="I16" s="1">
        <v>14</v>
      </c>
      <c r="J16" s="4">
        <f t="shared" si="3"/>
        <v>0.60869565217391308</v>
      </c>
      <c r="K16" s="10" t="s">
        <v>161</v>
      </c>
    </row>
    <row r="17" spans="1:11" x14ac:dyDescent="0.3">
      <c r="A17" s="1" t="s">
        <v>35</v>
      </c>
      <c r="B17" s="1" t="s">
        <v>36</v>
      </c>
      <c r="C17" s="1">
        <v>2.95</v>
      </c>
      <c r="D17" s="5">
        <v>0.217</v>
      </c>
      <c r="E17" s="5">
        <f t="shared" si="0"/>
        <v>3.6000000000000011E-2</v>
      </c>
      <c r="F17" s="5">
        <f t="shared" si="1"/>
        <v>0.50476190476190486</v>
      </c>
      <c r="G17" s="5">
        <f t="shared" si="2"/>
        <v>0.27038095238095244</v>
      </c>
      <c r="H17" s="1">
        <v>26</v>
      </c>
      <c r="I17" s="1">
        <v>13</v>
      </c>
      <c r="J17" s="4">
        <f t="shared" si="3"/>
        <v>0.5</v>
      </c>
      <c r="K17" s="10" t="s">
        <v>162</v>
      </c>
    </row>
    <row r="18" spans="1:11" x14ac:dyDescent="0.3">
      <c r="A18" s="1" t="s">
        <v>22</v>
      </c>
      <c r="B18" s="1" t="s">
        <v>31</v>
      </c>
      <c r="C18" s="1">
        <v>6</v>
      </c>
      <c r="D18" s="5">
        <v>0.26700000000000002</v>
      </c>
      <c r="E18" s="5">
        <f t="shared" si="0"/>
        <v>0.28000000000000003</v>
      </c>
      <c r="F18" s="5">
        <f t="shared" si="1"/>
        <v>0.26666666666666661</v>
      </c>
      <c r="G18" s="5">
        <f t="shared" si="2"/>
        <v>0.27333333333333332</v>
      </c>
      <c r="H18" s="1">
        <v>19</v>
      </c>
      <c r="I18" s="1">
        <v>11</v>
      </c>
      <c r="J18" s="4">
        <f t="shared" si="3"/>
        <v>0.57894736842105265</v>
      </c>
      <c r="K18" s="1" t="s">
        <v>148</v>
      </c>
    </row>
    <row r="19" spans="1:11" x14ac:dyDescent="0.3">
      <c r="A19" s="1" t="s">
        <v>44</v>
      </c>
      <c r="B19" s="1" t="s">
        <v>61</v>
      </c>
      <c r="C19" s="1">
        <v>6.94</v>
      </c>
      <c r="D19" s="5">
        <v>0.28000000000000003</v>
      </c>
      <c r="E19" s="5">
        <f t="shared" si="0"/>
        <v>0.35520000000000002</v>
      </c>
      <c r="F19" s="5">
        <f t="shared" si="1"/>
        <v>0.2047619047619047</v>
      </c>
      <c r="G19" s="5">
        <f t="shared" si="2"/>
        <v>0.27998095238095233</v>
      </c>
      <c r="H19" s="1">
        <v>20</v>
      </c>
      <c r="I19" s="1">
        <v>11</v>
      </c>
      <c r="J19" s="4">
        <f t="shared" si="3"/>
        <v>0.55000000000000004</v>
      </c>
      <c r="K19" s="1" t="s">
        <v>148</v>
      </c>
    </row>
    <row r="20" spans="1:11" x14ac:dyDescent="0.3">
      <c r="A20" s="1" t="s">
        <v>81</v>
      </c>
      <c r="B20" s="1" t="s">
        <v>82</v>
      </c>
      <c r="C20" s="1">
        <v>5</v>
      </c>
      <c r="D20" s="5">
        <v>0.247</v>
      </c>
      <c r="E20" s="5">
        <f t="shared" si="0"/>
        <v>0.2</v>
      </c>
      <c r="F20" s="5">
        <f t="shared" si="1"/>
        <v>0.36190476190476195</v>
      </c>
      <c r="G20" s="5">
        <f t="shared" si="2"/>
        <v>0.28095238095238095</v>
      </c>
      <c r="H20" s="1">
        <v>40</v>
      </c>
      <c r="I20" s="1">
        <v>12</v>
      </c>
      <c r="J20" s="4">
        <f t="shared" si="3"/>
        <v>0.3</v>
      </c>
      <c r="K20" s="10" t="s">
        <v>162</v>
      </c>
    </row>
    <row r="21" spans="1:11" x14ac:dyDescent="0.3">
      <c r="A21" s="1" t="s">
        <v>22</v>
      </c>
      <c r="B21" s="1" t="s">
        <v>51</v>
      </c>
      <c r="C21" s="1">
        <v>6.07</v>
      </c>
      <c r="D21" s="5">
        <v>0.26300000000000001</v>
      </c>
      <c r="E21" s="5">
        <f t="shared" si="0"/>
        <v>0.28560000000000002</v>
      </c>
      <c r="F21" s="5">
        <f t="shared" si="1"/>
        <v>0.2857142857142857</v>
      </c>
      <c r="G21" s="5">
        <f t="shared" si="2"/>
        <v>0.28565714285714283</v>
      </c>
      <c r="H21" s="1">
        <v>19</v>
      </c>
      <c r="I21" s="1">
        <v>7</v>
      </c>
      <c r="J21" s="4">
        <f t="shared" si="3"/>
        <v>0.36842105263157893</v>
      </c>
      <c r="K21" s="1" t="s">
        <v>148</v>
      </c>
    </row>
    <row r="22" spans="1:11" x14ac:dyDescent="0.3">
      <c r="A22" s="1" t="s">
        <v>47</v>
      </c>
      <c r="B22" s="1" t="s">
        <v>48</v>
      </c>
      <c r="C22" s="1">
        <v>3.5</v>
      </c>
      <c r="D22" s="5">
        <v>0.219</v>
      </c>
      <c r="E22" s="5">
        <f t="shared" si="0"/>
        <v>0.08</v>
      </c>
      <c r="F22" s="5">
        <f t="shared" si="1"/>
        <v>0.49523809523809526</v>
      </c>
      <c r="G22" s="5">
        <f t="shared" si="2"/>
        <v>0.28761904761904761</v>
      </c>
      <c r="H22" s="1">
        <v>22</v>
      </c>
      <c r="I22" s="1">
        <v>10</v>
      </c>
      <c r="J22" s="4">
        <f t="shared" si="3"/>
        <v>0.45454545454545453</v>
      </c>
      <c r="K22" s="10" t="s">
        <v>160</v>
      </c>
    </row>
    <row r="23" spans="1:11" x14ac:dyDescent="0.3">
      <c r="A23" s="1" t="s">
        <v>102</v>
      </c>
      <c r="B23" s="1" t="s">
        <v>103</v>
      </c>
      <c r="C23" s="1">
        <v>5.83</v>
      </c>
      <c r="D23" s="5">
        <v>0.25800000000000001</v>
      </c>
      <c r="E23" s="5">
        <f t="shared" si="0"/>
        <v>0.26640000000000003</v>
      </c>
      <c r="F23" s="5">
        <f t="shared" si="1"/>
        <v>0.30952380952380953</v>
      </c>
      <c r="G23" s="5">
        <f t="shared" si="2"/>
        <v>0.28796190476190475</v>
      </c>
      <c r="H23" s="1">
        <v>10</v>
      </c>
      <c r="I23" s="1">
        <v>3</v>
      </c>
      <c r="J23" s="4">
        <f t="shared" si="3"/>
        <v>0.3</v>
      </c>
      <c r="K23" s="1" t="s">
        <v>152</v>
      </c>
    </row>
    <row r="24" spans="1:11" x14ac:dyDescent="0.3">
      <c r="A24" s="1" t="s">
        <v>62</v>
      </c>
      <c r="B24" s="1" t="s">
        <v>63</v>
      </c>
      <c r="C24" s="1">
        <v>3.75</v>
      </c>
      <c r="D24" s="5">
        <v>0.222</v>
      </c>
      <c r="E24" s="5">
        <f t="shared" si="0"/>
        <v>0.1</v>
      </c>
      <c r="F24" s="5">
        <f t="shared" si="1"/>
        <v>0.48095238095238102</v>
      </c>
      <c r="G24" s="5">
        <f t="shared" si="2"/>
        <v>0.2904761904761905</v>
      </c>
      <c r="H24" s="1">
        <v>16</v>
      </c>
      <c r="I24" s="1">
        <v>5</v>
      </c>
      <c r="J24" s="4">
        <f t="shared" si="3"/>
        <v>0.3125</v>
      </c>
      <c r="K24" s="10" t="s">
        <v>161</v>
      </c>
    </row>
    <row r="25" spans="1:11" x14ac:dyDescent="0.3">
      <c r="A25" s="1" t="s">
        <v>85</v>
      </c>
      <c r="B25" s="1" t="s">
        <v>86</v>
      </c>
      <c r="C25" s="1">
        <v>3.69</v>
      </c>
      <c r="D25" s="5">
        <v>0.218</v>
      </c>
      <c r="E25" s="5">
        <f t="shared" si="0"/>
        <v>9.5199999999999993E-2</v>
      </c>
      <c r="F25" s="5">
        <f t="shared" si="1"/>
        <v>0.5</v>
      </c>
      <c r="G25" s="5">
        <f t="shared" si="2"/>
        <v>0.29759999999999998</v>
      </c>
      <c r="H25" s="1">
        <v>44</v>
      </c>
      <c r="I25" s="1">
        <v>24</v>
      </c>
      <c r="J25" s="4">
        <f t="shared" si="3"/>
        <v>0.54545454545454541</v>
      </c>
      <c r="K25" s="10" t="s">
        <v>162</v>
      </c>
    </row>
    <row r="26" spans="1:11" x14ac:dyDescent="0.3">
      <c r="A26" s="1" t="s">
        <v>102</v>
      </c>
      <c r="B26" s="1" t="s">
        <v>103</v>
      </c>
      <c r="C26" s="1">
        <v>7.5</v>
      </c>
      <c r="D26" s="5">
        <v>0.28199999999999997</v>
      </c>
      <c r="E26" s="5">
        <f t="shared" si="0"/>
        <v>0.4</v>
      </c>
      <c r="F26" s="5">
        <f t="shared" si="1"/>
        <v>0.19523809523809543</v>
      </c>
      <c r="G26" s="5">
        <f t="shared" si="2"/>
        <v>0.29761904761904773</v>
      </c>
      <c r="H26" s="1">
        <v>16</v>
      </c>
      <c r="I26" s="1">
        <v>4</v>
      </c>
      <c r="J26" s="4">
        <f t="shared" si="3"/>
        <v>0.25</v>
      </c>
      <c r="K26" s="1" t="s">
        <v>152</v>
      </c>
    </row>
    <row r="27" spans="1:11" x14ac:dyDescent="0.3">
      <c r="A27" s="1" t="s">
        <v>41</v>
      </c>
      <c r="B27" s="1" t="s">
        <v>80</v>
      </c>
      <c r="C27" s="1">
        <v>7.05</v>
      </c>
      <c r="D27" s="5">
        <v>0.27400000000000002</v>
      </c>
      <c r="E27" s="5">
        <f t="shared" si="0"/>
        <v>0.36399999999999999</v>
      </c>
      <c r="F27" s="5">
        <f t="shared" si="1"/>
        <v>0.23333333333333328</v>
      </c>
      <c r="G27" s="5">
        <f t="shared" si="2"/>
        <v>0.29866666666666664</v>
      </c>
      <c r="H27" s="1">
        <v>19</v>
      </c>
      <c r="I27" s="1">
        <v>11</v>
      </c>
      <c r="J27" s="4">
        <f t="shared" si="3"/>
        <v>0.57894736842105265</v>
      </c>
      <c r="K27" s="1" t="s">
        <v>151</v>
      </c>
    </row>
    <row r="28" spans="1:11" x14ac:dyDescent="0.3">
      <c r="A28" s="1" t="s">
        <v>41</v>
      </c>
      <c r="B28" s="1" t="s">
        <v>46</v>
      </c>
      <c r="C28" s="1">
        <v>6.25</v>
      </c>
      <c r="D28" s="5">
        <v>0.253</v>
      </c>
      <c r="E28" s="5">
        <f t="shared" si="0"/>
        <v>0.3</v>
      </c>
      <c r="F28" s="5">
        <f t="shared" si="1"/>
        <v>0.33333333333333337</v>
      </c>
      <c r="G28" s="5">
        <f t="shared" si="2"/>
        <v>0.31666666666666665</v>
      </c>
      <c r="H28" s="1">
        <v>19</v>
      </c>
      <c r="I28" s="1">
        <v>10</v>
      </c>
      <c r="J28" s="4">
        <f t="shared" si="3"/>
        <v>0.52631578947368418</v>
      </c>
      <c r="K28" s="1" t="s">
        <v>152</v>
      </c>
    </row>
    <row r="29" spans="1:11" x14ac:dyDescent="0.3">
      <c r="A29" s="1" t="s">
        <v>20</v>
      </c>
      <c r="B29" s="1" t="s">
        <v>21</v>
      </c>
      <c r="C29" s="1">
        <v>4.17</v>
      </c>
      <c r="D29" s="5">
        <v>0.218</v>
      </c>
      <c r="E29" s="5">
        <f t="shared" si="0"/>
        <v>0.1336</v>
      </c>
      <c r="F29" s="5">
        <f t="shared" si="1"/>
        <v>0.5</v>
      </c>
      <c r="G29" s="5">
        <f t="shared" si="2"/>
        <v>0.31679999999999997</v>
      </c>
      <c r="H29" s="1">
        <v>19</v>
      </c>
      <c r="I29" s="1">
        <v>6</v>
      </c>
      <c r="J29" s="4">
        <f t="shared" si="3"/>
        <v>0.31578947368421051</v>
      </c>
      <c r="K29" s="1" t="s">
        <v>155</v>
      </c>
    </row>
    <row r="30" spans="1:11" x14ac:dyDescent="0.3">
      <c r="A30" s="1" t="s">
        <v>97</v>
      </c>
      <c r="B30" s="1" t="s">
        <v>98</v>
      </c>
      <c r="C30" s="1">
        <v>3.33</v>
      </c>
      <c r="D30" s="5">
        <v>0.20300000000000001</v>
      </c>
      <c r="E30" s="5">
        <f t="shared" si="0"/>
        <v>6.6400000000000001E-2</v>
      </c>
      <c r="F30" s="5">
        <f t="shared" si="1"/>
        <v>0.5714285714285714</v>
      </c>
      <c r="G30" s="5">
        <f t="shared" si="2"/>
        <v>0.31891428571428571</v>
      </c>
      <c r="H30" s="1">
        <v>23</v>
      </c>
      <c r="I30" s="1">
        <v>7</v>
      </c>
      <c r="J30" s="4">
        <f t="shared" si="3"/>
        <v>0.30434782608695654</v>
      </c>
      <c r="K30" s="1" t="s">
        <v>153</v>
      </c>
    </row>
    <row r="31" spans="1:11" x14ac:dyDescent="0.3">
      <c r="A31" s="1" t="s">
        <v>16</v>
      </c>
      <c r="B31" s="1" t="s">
        <v>120</v>
      </c>
      <c r="C31" s="1">
        <v>5.5</v>
      </c>
      <c r="D31" s="5">
        <v>0.23899999999999999</v>
      </c>
      <c r="E31" s="5">
        <f t="shared" si="0"/>
        <v>0.24</v>
      </c>
      <c r="F31" s="5">
        <f t="shared" si="1"/>
        <v>0.4</v>
      </c>
      <c r="G31" s="5">
        <f t="shared" si="2"/>
        <v>0.32</v>
      </c>
      <c r="H31" s="1">
        <v>17</v>
      </c>
      <c r="I31" s="1">
        <v>5</v>
      </c>
      <c r="J31" s="4">
        <f t="shared" si="3"/>
        <v>0.29411764705882354</v>
      </c>
      <c r="K31" s="1" t="s">
        <v>158</v>
      </c>
    </row>
    <row r="32" spans="1:11" x14ac:dyDescent="0.3">
      <c r="A32" s="1" t="s">
        <v>24</v>
      </c>
      <c r="B32" s="1" t="s">
        <v>7</v>
      </c>
      <c r="C32" s="1">
        <v>6.39</v>
      </c>
      <c r="D32" s="5">
        <v>0.253</v>
      </c>
      <c r="E32" s="5">
        <f t="shared" si="0"/>
        <v>0.31119999999999998</v>
      </c>
      <c r="F32" s="5">
        <f t="shared" si="1"/>
        <v>0.33333333333333337</v>
      </c>
      <c r="G32" s="5">
        <f t="shared" si="2"/>
        <v>0.3222666666666667</v>
      </c>
      <c r="H32" s="1">
        <v>20</v>
      </c>
      <c r="I32" s="1">
        <v>9</v>
      </c>
      <c r="J32" s="4">
        <f t="shared" si="3"/>
        <v>0.45</v>
      </c>
      <c r="K32" s="1" t="s">
        <v>154</v>
      </c>
    </row>
    <row r="33" spans="1:11" x14ac:dyDescent="0.3">
      <c r="A33" s="1" t="s">
        <v>12</v>
      </c>
      <c r="B33" s="1" t="s">
        <v>130</v>
      </c>
      <c r="C33" s="1">
        <v>5.83</v>
      </c>
      <c r="D33" s="5">
        <v>0.24199999999999999</v>
      </c>
      <c r="E33" s="5">
        <f t="shared" si="0"/>
        <v>0.26640000000000003</v>
      </c>
      <c r="F33" s="5">
        <f t="shared" si="1"/>
        <v>0.38571428571428579</v>
      </c>
      <c r="G33" s="5">
        <f t="shared" si="2"/>
        <v>0.32605714285714293</v>
      </c>
      <c r="H33" s="1">
        <v>18</v>
      </c>
      <c r="I33" s="1">
        <v>6</v>
      </c>
      <c r="J33" s="4">
        <f t="shared" si="3"/>
        <v>0.33333333333333331</v>
      </c>
      <c r="K33" s="1" t="s">
        <v>152</v>
      </c>
    </row>
    <row r="34" spans="1:11" x14ac:dyDescent="0.3">
      <c r="A34" s="1" t="s">
        <v>22</v>
      </c>
      <c r="B34" s="1" t="s">
        <v>55</v>
      </c>
      <c r="C34" s="1">
        <v>7.5</v>
      </c>
      <c r="D34" s="5">
        <v>0.26900000000000002</v>
      </c>
      <c r="E34" s="5">
        <f t="shared" ref="E34:E65" si="4">(C34 - MIN(C:C)) / (MAX(C:C) - MIN(C:C))</f>
        <v>0.4</v>
      </c>
      <c r="F34" s="5">
        <f t="shared" ref="F34:F65" si="5">1 - ((D34 - MIN(D:D)) / (MAX(D:D) - MIN(D:D)))</f>
        <v>0.25714285714285712</v>
      </c>
      <c r="G34" s="5">
        <f t="shared" ref="G34:G65" si="6">0.5 *E34+0.5*F34</f>
        <v>0.32857142857142857</v>
      </c>
      <c r="H34" s="1">
        <v>25</v>
      </c>
      <c r="I34" s="1">
        <v>12</v>
      </c>
      <c r="J34" s="4">
        <f t="shared" ref="J34:J65" si="7">I34/H34</f>
        <v>0.48</v>
      </c>
      <c r="K34" s="1" t="s">
        <v>148</v>
      </c>
    </row>
    <row r="35" spans="1:11" x14ac:dyDescent="0.3">
      <c r="A35" s="1" t="s">
        <v>107</v>
      </c>
      <c r="B35" s="1" t="s">
        <v>108</v>
      </c>
      <c r="C35" s="1">
        <v>6.14</v>
      </c>
      <c r="D35" s="5">
        <v>0.24199999999999999</v>
      </c>
      <c r="E35" s="5">
        <f t="shared" si="4"/>
        <v>0.29119999999999996</v>
      </c>
      <c r="F35" s="5">
        <f t="shared" si="5"/>
        <v>0.38571428571428579</v>
      </c>
      <c r="G35" s="5">
        <f t="shared" si="6"/>
        <v>0.3384571428571429</v>
      </c>
      <c r="H35" s="1">
        <v>65</v>
      </c>
      <c r="I35" s="1">
        <v>35</v>
      </c>
      <c r="J35" s="4">
        <f t="shared" si="7"/>
        <v>0.53846153846153844</v>
      </c>
      <c r="K35" s="1" t="s">
        <v>163</v>
      </c>
    </row>
    <row r="36" spans="1:11" x14ac:dyDescent="0.3">
      <c r="A36" s="1" t="s">
        <v>37</v>
      </c>
      <c r="B36" s="1" t="s">
        <v>96</v>
      </c>
      <c r="C36" s="1">
        <v>4.17</v>
      </c>
      <c r="D36" s="5">
        <v>0.20699999999999999</v>
      </c>
      <c r="E36" s="5">
        <f t="shared" si="4"/>
        <v>0.1336</v>
      </c>
      <c r="F36" s="5">
        <f t="shared" si="5"/>
        <v>0.55238095238095242</v>
      </c>
      <c r="G36" s="5">
        <f t="shared" si="6"/>
        <v>0.34299047619047618</v>
      </c>
      <c r="H36" s="1">
        <v>19</v>
      </c>
      <c r="I36" s="1">
        <v>12</v>
      </c>
      <c r="J36" s="4">
        <f t="shared" si="7"/>
        <v>0.63157894736842102</v>
      </c>
      <c r="K36" s="1" t="s">
        <v>164</v>
      </c>
    </row>
    <row r="37" spans="1:11" x14ac:dyDescent="0.3">
      <c r="A37" s="1" t="s">
        <v>69</v>
      </c>
      <c r="B37" s="1" t="s">
        <v>19</v>
      </c>
      <c r="C37" s="1">
        <v>5</v>
      </c>
      <c r="D37" s="5">
        <v>0.22</v>
      </c>
      <c r="E37" s="5">
        <f t="shared" si="4"/>
        <v>0.2</v>
      </c>
      <c r="F37" s="5">
        <f t="shared" si="5"/>
        <v>0.49047619047619051</v>
      </c>
      <c r="G37" s="5">
        <f t="shared" si="6"/>
        <v>0.34523809523809523</v>
      </c>
      <c r="H37" s="1">
        <v>21</v>
      </c>
      <c r="I37" s="1">
        <v>7</v>
      </c>
      <c r="J37" s="4">
        <f t="shared" si="7"/>
        <v>0.33333333333333331</v>
      </c>
      <c r="K37" s="1" t="s">
        <v>151</v>
      </c>
    </row>
    <row r="38" spans="1:11" x14ac:dyDescent="0.3">
      <c r="A38" s="1" t="s">
        <v>12</v>
      </c>
      <c r="B38" s="1" t="s">
        <v>54</v>
      </c>
      <c r="C38" s="1">
        <v>4.5</v>
      </c>
      <c r="D38" s="5">
        <v>0.21099999999999999</v>
      </c>
      <c r="E38" s="5">
        <f t="shared" si="4"/>
        <v>0.16</v>
      </c>
      <c r="F38" s="5">
        <f t="shared" si="5"/>
        <v>0.53333333333333344</v>
      </c>
      <c r="G38" s="5">
        <f t="shared" si="6"/>
        <v>0.34666666666666673</v>
      </c>
      <c r="H38" s="1">
        <v>18</v>
      </c>
      <c r="I38" s="1">
        <v>6</v>
      </c>
      <c r="J38" s="4">
        <f t="shared" si="7"/>
        <v>0.33333333333333331</v>
      </c>
      <c r="K38" s="1" t="s">
        <v>152</v>
      </c>
    </row>
    <row r="39" spans="1:11" x14ac:dyDescent="0.3">
      <c r="A39" s="1" t="s">
        <v>27</v>
      </c>
      <c r="B39" s="1" t="s">
        <v>7</v>
      </c>
      <c r="C39" s="1">
        <v>5.62</v>
      </c>
      <c r="D39" s="5">
        <v>0.22900000000000001</v>
      </c>
      <c r="E39" s="5">
        <f t="shared" si="4"/>
        <v>0.24960000000000002</v>
      </c>
      <c r="F39" s="5">
        <f t="shared" si="5"/>
        <v>0.44761904761904769</v>
      </c>
      <c r="G39" s="5">
        <f t="shared" si="6"/>
        <v>0.34860952380952387</v>
      </c>
      <c r="H39" s="1">
        <v>15</v>
      </c>
      <c r="I39" s="1">
        <v>8</v>
      </c>
      <c r="J39" s="4">
        <f t="shared" si="7"/>
        <v>0.53333333333333333</v>
      </c>
      <c r="K39" s="1" t="s">
        <v>154</v>
      </c>
    </row>
    <row r="40" spans="1:11" x14ac:dyDescent="0.3">
      <c r="A40" s="1" t="s">
        <v>27</v>
      </c>
      <c r="B40" s="1" t="s">
        <v>7</v>
      </c>
      <c r="C40" s="1">
        <v>6.39</v>
      </c>
      <c r="D40" s="5">
        <v>0.24099999999999999</v>
      </c>
      <c r="E40" s="5">
        <f t="shared" si="4"/>
        <v>0.31119999999999998</v>
      </c>
      <c r="F40" s="5">
        <f t="shared" si="5"/>
        <v>0.39047619047619053</v>
      </c>
      <c r="G40" s="5">
        <f t="shared" si="6"/>
        <v>0.35083809523809528</v>
      </c>
      <c r="H40" s="1">
        <v>20</v>
      </c>
      <c r="I40" s="1">
        <v>9</v>
      </c>
      <c r="J40" s="4">
        <f t="shared" si="7"/>
        <v>0.45</v>
      </c>
      <c r="K40" s="1" t="s">
        <v>154</v>
      </c>
    </row>
    <row r="41" spans="1:11" x14ac:dyDescent="0.3">
      <c r="A41" s="1" t="s">
        <v>109</v>
      </c>
      <c r="B41" s="1" t="s">
        <v>98</v>
      </c>
      <c r="C41" s="1">
        <v>2.5</v>
      </c>
      <c r="D41" s="5">
        <v>0.17499999999999999</v>
      </c>
      <c r="E41" s="5">
        <f t="shared" si="4"/>
        <v>0</v>
      </c>
      <c r="F41" s="5">
        <f t="shared" si="5"/>
        <v>0.70476190476190492</v>
      </c>
      <c r="G41" s="5">
        <f t="shared" si="6"/>
        <v>0.35238095238095246</v>
      </c>
      <c r="H41" s="1">
        <v>22</v>
      </c>
      <c r="I41" s="1">
        <v>8</v>
      </c>
      <c r="J41" s="4">
        <f t="shared" si="7"/>
        <v>0.36363636363636365</v>
      </c>
      <c r="K41" s="1" t="s">
        <v>153</v>
      </c>
    </row>
    <row r="42" spans="1:11" x14ac:dyDescent="0.3">
      <c r="A42" s="1" t="s">
        <v>44</v>
      </c>
      <c r="B42" s="1" t="s">
        <v>78</v>
      </c>
      <c r="C42" s="1">
        <v>7.5</v>
      </c>
      <c r="D42" s="5">
        <v>0.25800000000000001</v>
      </c>
      <c r="E42" s="5">
        <f t="shared" si="4"/>
        <v>0.4</v>
      </c>
      <c r="F42" s="5">
        <f t="shared" si="5"/>
        <v>0.30952380952380953</v>
      </c>
      <c r="G42" s="5">
        <f t="shared" si="6"/>
        <v>0.35476190476190478</v>
      </c>
      <c r="H42" s="1">
        <v>19</v>
      </c>
      <c r="I42" s="1">
        <v>13</v>
      </c>
      <c r="J42" s="4">
        <f t="shared" si="7"/>
        <v>0.68421052631578949</v>
      </c>
      <c r="K42" s="1" t="s">
        <v>148</v>
      </c>
    </row>
    <row r="43" spans="1:11" x14ac:dyDescent="0.3">
      <c r="A43" s="1" t="s">
        <v>90</v>
      </c>
      <c r="B43" s="1" t="s">
        <v>91</v>
      </c>
      <c r="C43" s="1">
        <v>6.73</v>
      </c>
      <c r="D43" s="5">
        <v>0.245</v>
      </c>
      <c r="E43" s="5">
        <f t="shared" si="4"/>
        <v>0.33840000000000003</v>
      </c>
      <c r="F43" s="5">
        <f t="shared" si="5"/>
        <v>0.37142857142857144</v>
      </c>
      <c r="G43" s="5">
        <f t="shared" si="6"/>
        <v>0.35491428571428574</v>
      </c>
      <c r="H43" s="1">
        <v>28</v>
      </c>
      <c r="I43" s="1">
        <v>16</v>
      </c>
      <c r="J43" s="4">
        <f t="shared" si="7"/>
        <v>0.5714285714285714</v>
      </c>
      <c r="K43" s="10" t="s">
        <v>157</v>
      </c>
    </row>
    <row r="44" spans="1:11" x14ac:dyDescent="0.3">
      <c r="A44" s="1" t="s">
        <v>83</v>
      </c>
      <c r="B44" s="1" t="s">
        <v>84</v>
      </c>
      <c r="C44" s="1">
        <v>5.44</v>
      </c>
      <c r="D44" s="5">
        <v>0.222</v>
      </c>
      <c r="E44" s="5">
        <f t="shared" si="4"/>
        <v>0.23520000000000002</v>
      </c>
      <c r="F44" s="5">
        <f t="shared" si="5"/>
        <v>0.48095238095238102</v>
      </c>
      <c r="G44" s="5">
        <f t="shared" si="6"/>
        <v>0.35807619047619055</v>
      </c>
      <c r="H44" s="1">
        <v>24</v>
      </c>
      <c r="I44" s="1">
        <v>17</v>
      </c>
      <c r="J44" s="4">
        <f t="shared" si="7"/>
        <v>0.70833333333333337</v>
      </c>
      <c r="K44" s="1" t="s">
        <v>155</v>
      </c>
    </row>
    <row r="45" spans="1:11" x14ac:dyDescent="0.3">
      <c r="A45" s="1" t="s">
        <v>69</v>
      </c>
      <c r="B45" s="1" t="s">
        <v>19</v>
      </c>
      <c r="C45" s="1">
        <v>5</v>
      </c>
      <c r="D45" s="5">
        <v>0.214</v>
      </c>
      <c r="E45" s="5">
        <f t="shared" si="4"/>
        <v>0.2</v>
      </c>
      <c r="F45" s="5">
        <f t="shared" si="5"/>
        <v>0.5190476190476192</v>
      </c>
      <c r="G45" s="5">
        <f t="shared" si="6"/>
        <v>0.35952380952380958</v>
      </c>
      <c r="H45" s="1">
        <v>26</v>
      </c>
      <c r="I45" s="1">
        <v>13</v>
      </c>
      <c r="J45" s="4">
        <f t="shared" si="7"/>
        <v>0.5</v>
      </c>
      <c r="K45" s="1" t="s">
        <v>151</v>
      </c>
    </row>
    <row r="46" spans="1:11" x14ac:dyDescent="0.3">
      <c r="A46" s="1" t="s">
        <v>33</v>
      </c>
      <c r="B46" s="1" t="s">
        <v>49</v>
      </c>
      <c r="C46" s="1">
        <v>6.35</v>
      </c>
      <c r="D46" s="5">
        <v>0.23499999999999999</v>
      </c>
      <c r="E46" s="5">
        <f t="shared" si="4"/>
        <v>0.308</v>
      </c>
      <c r="F46" s="5">
        <f t="shared" si="5"/>
        <v>0.41904761904761922</v>
      </c>
      <c r="G46" s="5">
        <f t="shared" si="6"/>
        <v>0.36352380952380958</v>
      </c>
      <c r="H46" s="1">
        <v>28</v>
      </c>
      <c r="I46" s="1">
        <v>13</v>
      </c>
      <c r="J46" s="4">
        <f t="shared" si="7"/>
        <v>0.4642857142857143</v>
      </c>
      <c r="K46" s="1" t="s">
        <v>156</v>
      </c>
    </row>
    <row r="47" spans="1:11" x14ac:dyDescent="0.3">
      <c r="A47" s="1" t="s">
        <v>12</v>
      </c>
      <c r="B47" s="1" t="s">
        <v>46</v>
      </c>
      <c r="C47" s="1">
        <v>6.25</v>
      </c>
      <c r="D47" s="5">
        <v>0.23300000000000001</v>
      </c>
      <c r="E47" s="5">
        <f t="shared" si="4"/>
        <v>0.3</v>
      </c>
      <c r="F47" s="5">
        <f t="shared" si="5"/>
        <v>0.4285714285714286</v>
      </c>
      <c r="G47" s="5">
        <f t="shared" si="6"/>
        <v>0.36428571428571432</v>
      </c>
      <c r="H47" s="1">
        <v>14</v>
      </c>
      <c r="I47" s="1">
        <v>4</v>
      </c>
      <c r="J47" s="4">
        <f t="shared" si="7"/>
        <v>0.2857142857142857</v>
      </c>
      <c r="K47" s="1" t="s">
        <v>152</v>
      </c>
    </row>
    <row r="48" spans="1:11" x14ac:dyDescent="0.3">
      <c r="A48" s="1" t="s">
        <v>110</v>
      </c>
      <c r="B48" s="1" t="s">
        <v>111</v>
      </c>
      <c r="C48" s="1">
        <v>5.28</v>
      </c>
      <c r="D48" s="5">
        <v>0.216</v>
      </c>
      <c r="E48" s="5">
        <f t="shared" si="4"/>
        <v>0.22240000000000001</v>
      </c>
      <c r="F48" s="5">
        <f t="shared" si="5"/>
        <v>0.5095238095238096</v>
      </c>
      <c r="G48" s="5">
        <f t="shared" si="6"/>
        <v>0.36596190476190482</v>
      </c>
      <c r="H48" s="1">
        <v>30</v>
      </c>
      <c r="I48" s="1">
        <v>10</v>
      </c>
      <c r="J48" s="4">
        <f t="shared" si="7"/>
        <v>0.33333333333333331</v>
      </c>
      <c r="K48" s="10" t="s">
        <v>162</v>
      </c>
    </row>
    <row r="49" spans="1:11" x14ac:dyDescent="0.3">
      <c r="A49" s="1" t="s">
        <v>37</v>
      </c>
      <c r="B49" s="1" t="s">
        <v>15</v>
      </c>
      <c r="C49" s="1">
        <v>5</v>
      </c>
      <c r="D49" s="5">
        <v>0.21099999999999999</v>
      </c>
      <c r="E49" s="5">
        <f t="shared" si="4"/>
        <v>0.2</v>
      </c>
      <c r="F49" s="5">
        <f t="shared" si="5"/>
        <v>0.53333333333333344</v>
      </c>
      <c r="G49" s="5">
        <f t="shared" si="6"/>
        <v>0.3666666666666667</v>
      </c>
      <c r="H49" s="1">
        <v>21</v>
      </c>
      <c r="I49" s="1">
        <v>9</v>
      </c>
      <c r="J49" s="4">
        <f t="shared" si="7"/>
        <v>0.42857142857142855</v>
      </c>
      <c r="K49" s="1" t="s">
        <v>164</v>
      </c>
    </row>
    <row r="50" spans="1:11" x14ac:dyDescent="0.3">
      <c r="A50" s="1" t="s">
        <v>52</v>
      </c>
      <c r="B50" s="1" t="s">
        <v>53</v>
      </c>
      <c r="C50" s="1">
        <v>6.79</v>
      </c>
      <c r="D50" s="5">
        <v>0.24099999999999999</v>
      </c>
      <c r="E50" s="5">
        <f t="shared" si="4"/>
        <v>0.34320000000000001</v>
      </c>
      <c r="F50" s="5">
        <f t="shared" si="5"/>
        <v>0.39047619047619053</v>
      </c>
      <c r="G50" s="5">
        <f t="shared" si="6"/>
        <v>0.3668380952380953</v>
      </c>
      <c r="H50" s="1">
        <v>22</v>
      </c>
      <c r="I50" s="1">
        <v>9</v>
      </c>
      <c r="J50" s="4">
        <f t="shared" si="7"/>
        <v>0.40909090909090912</v>
      </c>
      <c r="K50" s="10" t="s">
        <v>160</v>
      </c>
    </row>
    <row r="51" spans="1:11" x14ac:dyDescent="0.3">
      <c r="A51" s="1" t="s">
        <v>16</v>
      </c>
      <c r="B51" s="1" t="s">
        <v>105</v>
      </c>
      <c r="C51" s="1">
        <v>5.5</v>
      </c>
      <c r="D51" s="5">
        <v>0.219</v>
      </c>
      <c r="E51" s="5">
        <f t="shared" si="4"/>
        <v>0.24</v>
      </c>
      <c r="F51" s="5">
        <f t="shared" si="5"/>
        <v>0.49523809523809526</v>
      </c>
      <c r="G51" s="5">
        <f t="shared" si="6"/>
        <v>0.36761904761904762</v>
      </c>
      <c r="H51" s="1">
        <v>13</v>
      </c>
      <c r="I51" s="1">
        <v>5</v>
      </c>
      <c r="J51" s="4">
        <f t="shared" si="7"/>
        <v>0.38461538461538464</v>
      </c>
      <c r="K51" s="1" t="s">
        <v>158</v>
      </c>
    </row>
    <row r="52" spans="1:11" x14ac:dyDescent="0.3">
      <c r="A52" s="1" t="s">
        <v>131</v>
      </c>
      <c r="B52" s="1" t="s">
        <v>132</v>
      </c>
      <c r="C52" s="1">
        <v>8.5</v>
      </c>
      <c r="D52" s="5">
        <v>0.26900000000000002</v>
      </c>
      <c r="E52" s="5">
        <f t="shared" si="4"/>
        <v>0.48</v>
      </c>
      <c r="F52" s="5">
        <f t="shared" si="5"/>
        <v>0.25714285714285712</v>
      </c>
      <c r="G52" s="5">
        <f t="shared" si="6"/>
        <v>0.36857142857142855</v>
      </c>
      <c r="H52" s="1">
        <v>35</v>
      </c>
      <c r="I52" s="1">
        <v>15</v>
      </c>
      <c r="J52" s="4">
        <f t="shared" si="7"/>
        <v>0.42857142857142855</v>
      </c>
      <c r="K52" s="10" t="s">
        <v>159</v>
      </c>
    </row>
    <row r="53" spans="1:11" x14ac:dyDescent="0.3">
      <c r="A53" s="1" t="s">
        <v>14</v>
      </c>
      <c r="B53" s="1" t="s">
        <v>15</v>
      </c>
      <c r="C53" s="1">
        <v>7.5</v>
      </c>
      <c r="D53" s="5">
        <v>0.252</v>
      </c>
      <c r="E53" s="5">
        <f t="shared" si="4"/>
        <v>0.4</v>
      </c>
      <c r="F53" s="5">
        <f t="shared" si="5"/>
        <v>0.33809523809523812</v>
      </c>
      <c r="G53" s="5">
        <f t="shared" si="6"/>
        <v>0.36904761904761907</v>
      </c>
      <c r="H53" s="1">
        <v>19</v>
      </c>
      <c r="I53" s="1">
        <v>7</v>
      </c>
      <c r="J53" s="4">
        <f t="shared" si="7"/>
        <v>0.36842105263157893</v>
      </c>
      <c r="K53" s="1" t="s">
        <v>164</v>
      </c>
    </row>
    <row r="54" spans="1:11" x14ac:dyDescent="0.3">
      <c r="A54" s="1" t="s">
        <v>22</v>
      </c>
      <c r="B54" s="1" t="s">
        <v>23</v>
      </c>
      <c r="C54" s="1">
        <v>5</v>
      </c>
      <c r="D54" s="5">
        <v>0.20799999999999999</v>
      </c>
      <c r="E54" s="5">
        <f t="shared" si="4"/>
        <v>0.2</v>
      </c>
      <c r="F54" s="5">
        <f t="shared" si="5"/>
        <v>0.54761904761904767</v>
      </c>
      <c r="G54" s="5">
        <f t="shared" si="6"/>
        <v>0.37380952380952381</v>
      </c>
      <c r="H54" s="1">
        <v>19</v>
      </c>
      <c r="I54" s="1">
        <v>6</v>
      </c>
      <c r="J54" s="4">
        <f t="shared" si="7"/>
        <v>0.31578947368421051</v>
      </c>
      <c r="K54" s="1" t="s">
        <v>148</v>
      </c>
    </row>
    <row r="55" spans="1:11" x14ac:dyDescent="0.3">
      <c r="A55" s="1" t="s">
        <v>24</v>
      </c>
      <c r="B55" s="1" t="s">
        <v>7</v>
      </c>
      <c r="C55" s="1">
        <v>5</v>
      </c>
      <c r="D55" s="5">
        <v>0.20699999999999999</v>
      </c>
      <c r="E55" s="5">
        <f t="shared" si="4"/>
        <v>0.2</v>
      </c>
      <c r="F55" s="5">
        <f t="shared" si="5"/>
        <v>0.55238095238095242</v>
      </c>
      <c r="G55" s="5">
        <f t="shared" si="6"/>
        <v>0.37619047619047619</v>
      </c>
      <c r="H55" s="1">
        <v>17</v>
      </c>
      <c r="I55" s="1">
        <v>5</v>
      </c>
      <c r="J55" s="4">
        <f t="shared" si="7"/>
        <v>0.29411764705882354</v>
      </c>
      <c r="K55" s="1" t="s">
        <v>154</v>
      </c>
    </row>
    <row r="56" spans="1:11" x14ac:dyDescent="0.3">
      <c r="A56" s="1" t="s">
        <v>41</v>
      </c>
      <c r="B56" s="1" t="s">
        <v>79</v>
      </c>
      <c r="C56" s="1">
        <v>4.5</v>
      </c>
      <c r="D56" s="5">
        <v>0.19800000000000001</v>
      </c>
      <c r="E56" s="5">
        <f t="shared" si="4"/>
        <v>0.16</v>
      </c>
      <c r="F56" s="5">
        <f t="shared" si="5"/>
        <v>0.59523809523809523</v>
      </c>
      <c r="G56" s="5">
        <f t="shared" si="6"/>
        <v>0.37761904761904763</v>
      </c>
      <c r="H56" s="1">
        <v>19</v>
      </c>
      <c r="I56" s="1">
        <v>11</v>
      </c>
      <c r="J56" s="4">
        <f t="shared" si="7"/>
        <v>0.57894736842105265</v>
      </c>
      <c r="K56" s="1" t="s">
        <v>152</v>
      </c>
    </row>
    <row r="57" spans="1:11" x14ac:dyDescent="0.3">
      <c r="A57" s="1" t="s">
        <v>100</v>
      </c>
      <c r="B57" s="1" t="s">
        <v>101</v>
      </c>
      <c r="C57" s="1">
        <v>9.42</v>
      </c>
      <c r="D57" s="5">
        <v>0.27800000000000002</v>
      </c>
      <c r="E57" s="5">
        <f t="shared" si="4"/>
        <v>0.55359999999999998</v>
      </c>
      <c r="F57" s="5">
        <f t="shared" si="5"/>
        <v>0.21428571428571419</v>
      </c>
      <c r="G57" s="5">
        <f t="shared" si="6"/>
        <v>0.38394285714285709</v>
      </c>
      <c r="H57" s="1">
        <v>23</v>
      </c>
      <c r="I57" s="1">
        <v>15</v>
      </c>
      <c r="J57" s="4">
        <f t="shared" si="7"/>
        <v>0.65217391304347827</v>
      </c>
      <c r="K57" s="1" t="s">
        <v>157</v>
      </c>
    </row>
    <row r="58" spans="1:11" x14ac:dyDescent="0.3">
      <c r="A58" s="1" t="s">
        <v>14</v>
      </c>
      <c r="B58" s="1" t="s">
        <v>96</v>
      </c>
      <c r="C58" s="1">
        <v>5.83</v>
      </c>
      <c r="D58" s="5">
        <v>0.217</v>
      </c>
      <c r="E58" s="5">
        <f t="shared" si="4"/>
        <v>0.26640000000000003</v>
      </c>
      <c r="F58" s="5">
        <f t="shared" si="5"/>
        <v>0.50476190476190486</v>
      </c>
      <c r="G58" s="5">
        <f t="shared" si="6"/>
        <v>0.38558095238095247</v>
      </c>
      <c r="H58" s="1">
        <v>19</v>
      </c>
      <c r="I58" s="1">
        <v>13</v>
      </c>
      <c r="J58" s="4">
        <f t="shared" si="7"/>
        <v>0.68421052631578949</v>
      </c>
      <c r="K58" s="1" t="s">
        <v>164</v>
      </c>
    </row>
    <row r="59" spans="1:11" x14ac:dyDescent="0.3">
      <c r="A59" s="1" t="s">
        <v>16</v>
      </c>
      <c r="B59" s="1" t="s">
        <v>17</v>
      </c>
      <c r="C59" s="1">
        <v>6.25</v>
      </c>
      <c r="D59" s="5">
        <v>0.224</v>
      </c>
      <c r="E59" s="5">
        <f t="shared" si="4"/>
        <v>0.3</v>
      </c>
      <c r="F59" s="5">
        <f t="shared" si="5"/>
        <v>0.47142857142857142</v>
      </c>
      <c r="G59" s="5">
        <f t="shared" si="6"/>
        <v>0.38571428571428568</v>
      </c>
      <c r="H59" s="1">
        <v>16</v>
      </c>
      <c r="I59" s="1">
        <v>4</v>
      </c>
      <c r="J59" s="4">
        <f t="shared" si="7"/>
        <v>0.25</v>
      </c>
      <c r="K59" s="1" t="s">
        <v>158</v>
      </c>
    </row>
    <row r="60" spans="1:11" x14ac:dyDescent="0.3">
      <c r="A60" s="1" t="s">
        <v>12</v>
      </c>
      <c r="B60" s="1" t="s">
        <v>13</v>
      </c>
      <c r="C60" s="1">
        <v>6.07</v>
      </c>
      <c r="D60" s="5">
        <v>0.219</v>
      </c>
      <c r="E60" s="5">
        <f t="shared" si="4"/>
        <v>0.28560000000000002</v>
      </c>
      <c r="F60" s="5">
        <f t="shared" si="5"/>
        <v>0.49523809523809526</v>
      </c>
      <c r="G60" s="5">
        <f t="shared" si="6"/>
        <v>0.39041904761904767</v>
      </c>
      <c r="H60" s="1">
        <v>18</v>
      </c>
      <c r="I60" s="1">
        <v>7</v>
      </c>
      <c r="J60" s="4">
        <f t="shared" si="7"/>
        <v>0.3888888888888889</v>
      </c>
      <c r="K60" s="1" t="s">
        <v>152</v>
      </c>
    </row>
    <row r="61" spans="1:11" x14ac:dyDescent="0.3">
      <c r="A61" s="1" t="s">
        <v>10</v>
      </c>
      <c r="B61" s="1" t="s">
        <v>11</v>
      </c>
      <c r="C61" s="1">
        <v>6.88</v>
      </c>
      <c r="D61" s="5">
        <v>0.23200000000000001</v>
      </c>
      <c r="E61" s="5">
        <f t="shared" si="4"/>
        <v>0.35039999999999999</v>
      </c>
      <c r="F61" s="5">
        <f t="shared" si="5"/>
        <v>0.43333333333333335</v>
      </c>
      <c r="G61" s="5">
        <f t="shared" si="6"/>
        <v>0.3918666666666667</v>
      </c>
      <c r="H61" s="1">
        <v>30</v>
      </c>
      <c r="I61" s="1">
        <v>17</v>
      </c>
      <c r="J61" s="4">
        <f t="shared" si="7"/>
        <v>0.56666666666666665</v>
      </c>
      <c r="K61" s="10" t="s">
        <v>162</v>
      </c>
    </row>
    <row r="62" spans="1:11" x14ac:dyDescent="0.3">
      <c r="A62" s="1" t="s">
        <v>32</v>
      </c>
      <c r="B62" s="1" t="s">
        <v>7</v>
      </c>
      <c r="C62" s="1">
        <v>5.83</v>
      </c>
      <c r="D62" s="5">
        <v>0.214</v>
      </c>
      <c r="E62" s="5">
        <f t="shared" si="4"/>
        <v>0.26640000000000003</v>
      </c>
      <c r="F62" s="5">
        <f t="shared" si="5"/>
        <v>0.5190476190476192</v>
      </c>
      <c r="G62" s="5">
        <f t="shared" si="6"/>
        <v>0.39272380952380959</v>
      </c>
      <c r="H62" s="1">
        <v>11</v>
      </c>
      <c r="I62" s="1">
        <v>5</v>
      </c>
      <c r="J62" s="4">
        <f t="shared" si="7"/>
        <v>0.45454545454545453</v>
      </c>
      <c r="K62" s="1" t="s">
        <v>156</v>
      </c>
    </row>
    <row r="63" spans="1:11" x14ac:dyDescent="0.3">
      <c r="A63" s="1" t="s">
        <v>22</v>
      </c>
      <c r="B63" s="1" t="s">
        <v>30</v>
      </c>
      <c r="C63" s="1">
        <v>5</v>
      </c>
      <c r="D63" s="5">
        <v>0.2</v>
      </c>
      <c r="E63" s="5">
        <f t="shared" si="4"/>
        <v>0.2</v>
      </c>
      <c r="F63" s="5">
        <f t="shared" si="5"/>
        <v>0.58571428571428574</v>
      </c>
      <c r="G63" s="5">
        <f t="shared" si="6"/>
        <v>0.3928571428571429</v>
      </c>
      <c r="H63" s="1">
        <v>19</v>
      </c>
      <c r="I63" s="1">
        <v>8</v>
      </c>
      <c r="J63" s="4">
        <f t="shared" si="7"/>
        <v>0.42105263157894735</v>
      </c>
      <c r="K63" s="1" t="s">
        <v>148</v>
      </c>
    </row>
    <row r="64" spans="1:11" x14ac:dyDescent="0.3">
      <c r="A64" s="1" t="s">
        <v>56</v>
      </c>
      <c r="B64" s="1" t="s">
        <v>57</v>
      </c>
      <c r="C64" s="1">
        <v>5.76</v>
      </c>
      <c r="D64" s="5">
        <v>0.21199999999999999</v>
      </c>
      <c r="E64" s="5">
        <f t="shared" si="4"/>
        <v>0.26079999999999998</v>
      </c>
      <c r="F64" s="5">
        <f t="shared" si="5"/>
        <v>0.52857142857142869</v>
      </c>
      <c r="G64" s="5">
        <f t="shared" si="6"/>
        <v>0.39468571428571431</v>
      </c>
      <c r="H64" s="1">
        <v>49</v>
      </c>
      <c r="I64" s="1">
        <v>25</v>
      </c>
      <c r="J64" s="4">
        <f t="shared" si="7"/>
        <v>0.51020408163265307</v>
      </c>
      <c r="K64" s="1" t="s">
        <v>149</v>
      </c>
    </row>
    <row r="65" spans="1:11" x14ac:dyDescent="0.3">
      <c r="A65" s="1" t="s">
        <v>65</v>
      </c>
      <c r="B65" s="1" t="s">
        <v>118</v>
      </c>
      <c r="C65" s="1">
        <v>4.17</v>
      </c>
      <c r="D65" s="5">
        <v>0.185</v>
      </c>
      <c r="E65" s="5">
        <f t="shared" si="4"/>
        <v>0.1336</v>
      </c>
      <c r="F65" s="5">
        <f t="shared" si="5"/>
        <v>0.65714285714285725</v>
      </c>
      <c r="G65" s="5">
        <f t="shared" si="6"/>
        <v>0.3953714285714286</v>
      </c>
      <c r="H65" s="1">
        <v>25</v>
      </c>
      <c r="I65" s="1">
        <v>6</v>
      </c>
      <c r="J65" s="4">
        <f t="shared" si="7"/>
        <v>0.24</v>
      </c>
      <c r="K65" s="1" t="s">
        <v>156</v>
      </c>
    </row>
    <row r="66" spans="1:11" x14ac:dyDescent="0.3">
      <c r="A66" s="1" t="s">
        <v>22</v>
      </c>
      <c r="B66" s="1" t="s">
        <v>119</v>
      </c>
      <c r="C66" s="1">
        <v>8.33</v>
      </c>
      <c r="D66" s="5">
        <v>0.252</v>
      </c>
      <c r="E66" s="5">
        <f t="shared" ref="E66:E97" si="8">(C66 - MIN(C:C)) / (MAX(C:C) - MIN(C:C))</f>
        <v>0.46639999999999998</v>
      </c>
      <c r="F66" s="5">
        <f t="shared" ref="F66:F97" si="9">1 - ((D66 - MIN(D:D)) / (MAX(D:D) - MIN(D:D)))</f>
        <v>0.33809523809523812</v>
      </c>
      <c r="G66" s="5">
        <f t="shared" ref="G66:G97" si="10">0.5 *E66+0.5*F66</f>
        <v>0.40224761904761908</v>
      </c>
      <c r="H66" s="1">
        <v>19</v>
      </c>
      <c r="I66" s="1">
        <v>6</v>
      </c>
      <c r="J66" s="4">
        <f t="shared" ref="J66:J97" si="11">I66/H66</f>
        <v>0.31578947368421051</v>
      </c>
      <c r="K66" s="1" t="s">
        <v>148</v>
      </c>
    </row>
    <row r="67" spans="1:11" x14ac:dyDescent="0.3">
      <c r="A67" s="1" t="s">
        <v>24</v>
      </c>
      <c r="B67" s="1" t="s">
        <v>7</v>
      </c>
      <c r="C67" s="1">
        <v>5.83</v>
      </c>
      <c r="D67" s="5">
        <v>0.20899999999999999</v>
      </c>
      <c r="E67" s="5">
        <f t="shared" si="8"/>
        <v>0.26640000000000003</v>
      </c>
      <c r="F67" s="5">
        <f t="shared" si="9"/>
        <v>0.54285714285714293</v>
      </c>
      <c r="G67" s="5">
        <f t="shared" si="10"/>
        <v>0.40462857142857145</v>
      </c>
      <c r="H67" s="1">
        <v>12</v>
      </c>
      <c r="I67" s="1">
        <v>7</v>
      </c>
      <c r="J67" s="4">
        <f t="shared" si="11"/>
        <v>0.58333333333333337</v>
      </c>
      <c r="K67" s="1" t="s">
        <v>154</v>
      </c>
    </row>
    <row r="68" spans="1:11" x14ac:dyDescent="0.3">
      <c r="A68" s="1" t="s">
        <v>24</v>
      </c>
      <c r="B68" s="1" t="s">
        <v>7</v>
      </c>
      <c r="C68" s="1">
        <v>9.5</v>
      </c>
      <c r="D68" s="5">
        <v>0.26800000000000002</v>
      </c>
      <c r="E68" s="5">
        <f t="shared" si="8"/>
        <v>0.56000000000000005</v>
      </c>
      <c r="F68" s="5">
        <f t="shared" si="9"/>
        <v>0.26190476190476186</v>
      </c>
      <c r="G68" s="5">
        <f t="shared" si="10"/>
        <v>0.41095238095238096</v>
      </c>
      <c r="H68" s="1">
        <v>17</v>
      </c>
      <c r="I68" s="1">
        <v>6</v>
      </c>
      <c r="J68" s="4">
        <f t="shared" si="11"/>
        <v>0.35294117647058826</v>
      </c>
      <c r="K68" s="1" t="s">
        <v>154</v>
      </c>
    </row>
    <row r="69" spans="1:11" x14ac:dyDescent="0.3">
      <c r="A69" s="1" t="s">
        <v>22</v>
      </c>
      <c r="B69" s="1" t="s">
        <v>73</v>
      </c>
      <c r="C69" s="1">
        <v>6.07</v>
      </c>
      <c r="D69" s="5">
        <v>0.21</v>
      </c>
      <c r="E69" s="5">
        <f t="shared" si="8"/>
        <v>0.28560000000000002</v>
      </c>
      <c r="F69" s="5">
        <f t="shared" si="9"/>
        <v>0.53809523809523818</v>
      </c>
      <c r="G69" s="5">
        <f t="shared" si="10"/>
        <v>0.41184761904761913</v>
      </c>
      <c r="H69" s="1">
        <v>19</v>
      </c>
      <c r="I69" s="1">
        <v>7</v>
      </c>
      <c r="J69" s="4">
        <f t="shared" si="11"/>
        <v>0.36842105263157893</v>
      </c>
      <c r="K69" s="1" t="s">
        <v>148</v>
      </c>
    </row>
    <row r="70" spans="1:11" x14ac:dyDescent="0.3">
      <c r="A70" s="1" t="s">
        <v>10</v>
      </c>
      <c r="B70" s="1" t="s">
        <v>70</v>
      </c>
      <c r="C70" s="1">
        <v>7.5</v>
      </c>
      <c r="D70" s="5">
        <v>0.23200000000000001</v>
      </c>
      <c r="E70" s="5">
        <f t="shared" si="8"/>
        <v>0.4</v>
      </c>
      <c r="F70" s="5">
        <f t="shared" si="9"/>
        <v>0.43333333333333335</v>
      </c>
      <c r="G70" s="5">
        <f t="shared" si="10"/>
        <v>0.41666666666666669</v>
      </c>
      <c r="H70" s="1">
        <v>16</v>
      </c>
      <c r="I70" s="1">
        <v>8</v>
      </c>
      <c r="J70" s="4">
        <f t="shared" si="11"/>
        <v>0.5</v>
      </c>
      <c r="K70" s="10" t="s">
        <v>162</v>
      </c>
    </row>
    <row r="71" spans="1:11" x14ac:dyDescent="0.3">
      <c r="A71" s="1" t="s">
        <v>28</v>
      </c>
      <c r="B71" s="1" t="s">
        <v>95</v>
      </c>
      <c r="C71" s="1">
        <v>6.07</v>
      </c>
      <c r="D71" s="5">
        <v>0.20699999999999999</v>
      </c>
      <c r="E71" s="5">
        <f t="shared" si="8"/>
        <v>0.28560000000000002</v>
      </c>
      <c r="F71" s="5">
        <f t="shared" si="9"/>
        <v>0.55238095238095242</v>
      </c>
      <c r="G71" s="5">
        <f t="shared" si="10"/>
        <v>0.41899047619047625</v>
      </c>
      <c r="H71" s="1">
        <v>18</v>
      </c>
      <c r="I71" s="1">
        <v>7</v>
      </c>
      <c r="J71" s="4">
        <f t="shared" si="11"/>
        <v>0.3888888888888889</v>
      </c>
      <c r="K71" s="1" t="s">
        <v>155</v>
      </c>
    </row>
    <row r="72" spans="1:11" x14ac:dyDescent="0.3">
      <c r="A72" s="1" t="s">
        <v>44</v>
      </c>
      <c r="B72" s="1" t="s">
        <v>30</v>
      </c>
      <c r="C72" s="1">
        <v>4.38</v>
      </c>
      <c r="D72" s="5">
        <v>0.17699999999999999</v>
      </c>
      <c r="E72" s="5">
        <f t="shared" si="8"/>
        <v>0.15039999999999998</v>
      </c>
      <c r="F72" s="5">
        <f t="shared" si="9"/>
        <v>0.69523809523809532</v>
      </c>
      <c r="G72" s="5">
        <f t="shared" si="10"/>
        <v>0.42281904761904765</v>
      </c>
      <c r="H72" s="1">
        <v>15</v>
      </c>
      <c r="I72" s="1">
        <v>8</v>
      </c>
      <c r="J72" s="4">
        <f t="shared" si="11"/>
        <v>0.53333333333333333</v>
      </c>
      <c r="K72" s="1" t="s">
        <v>148</v>
      </c>
    </row>
    <row r="73" spans="1:11" x14ac:dyDescent="0.3">
      <c r="A73" s="1" t="s">
        <v>59</v>
      </c>
      <c r="B73" s="1" t="s">
        <v>74</v>
      </c>
      <c r="C73" s="1">
        <v>3.75</v>
      </c>
      <c r="D73" s="5">
        <v>0.16600000000000001</v>
      </c>
      <c r="E73" s="5">
        <f t="shared" si="8"/>
        <v>0.1</v>
      </c>
      <c r="F73" s="5">
        <f t="shared" si="9"/>
        <v>0.74761904761904763</v>
      </c>
      <c r="G73" s="5">
        <f t="shared" si="10"/>
        <v>0.4238095238095238</v>
      </c>
      <c r="H73" s="1">
        <v>19</v>
      </c>
      <c r="I73" s="1">
        <v>8</v>
      </c>
      <c r="J73" s="4">
        <f t="shared" si="11"/>
        <v>0.42105263157894735</v>
      </c>
      <c r="K73" s="1" t="s">
        <v>158</v>
      </c>
    </row>
    <row r="74" spans="1:11" x14ac:dyDescent="0.3">
      <c r="A74" s="1" t="s">
        <v>32</v>
      </c>
      <c r="B74" s="1" t="s">
        <v>7</v>
      </c>
      <c r="C74" s="1">
        <v>3.5</v>
      </c>
      <c r="D74" s="5">
        <v>0.16</v>
      </c>
      <c r="E74" s="5">
        <f t="shared" si="8"/>
        <v>0.08</v>
      </c>
      <c r="F74" s="5">
        <f t="shared" si="9"/>
        <v>0.77619047619047621</v>
      </c>
      <c r="G74" s="5">
        <f t="shared" si="10"/>
        <v>0.42809523809523808</v>
      </c>
      <c r="H74" s="1">
        <v>23</v>
      </c>
      <c r="I74" s="1">
        <v>7</v>
      </c>
      <c r="J74" s="4">
        <f t="shared" si="11"/>
        <v>0.30434782608695654</v>
      </c>
      <c r="K74" s="1" t="s">
        <v>156</v>
      </c>
    </row>
    <row r="75" spans="1:11" x14ac:dyDescent="0.3">
      <c r="A75" s="1" t="s">
        <v>22</v>
      </c>
      <c r="B75" s="1" t="s">
        <v>64</v>
      </c>
      <c r="C75" s="1">
        <v>6.73</v>
      </c>
      <c r="D75" s="5">
        <v>0.21299999999999999</v>
      </c>
      <c r="E75" s="5">
        <f t="shared" si="8"/>
        <v>0.33840000000000003</v>
      </c>
      <c r="F75" s="5">
        <f t="shared" si="9"/>
        <v>0.52380952380952395</v>
      </c>
      <c r="G75" s="5">
        <f t="shared" si="10"/>
        <v>0.43110476190476199</v>
      </c>
      <c r="H75" s="1">
        <v>18</v>
      </c>
      <c r="I75" s="1">
        <v>13</v>
      </c>
      <c r="J75" s="4">
        <f t="shared" si="11"/>
        <v>0.72222222222222221</v>
      </c>
      <c r="K75" s="1" t="s">
        <v>148</v>
      </c>
    </row>
    <row r="76" spans="1:11" x14ac:dyDescent="0.3">
      <c r="A76" s="1" t="s">
        <v>44</v>
      </c>
      <c r="B76" s="1" t="s">
        <v>45</v>
      </c>
      <c r="C76" s="1">
        <v>5.36</v>
      </c>
      <c r="D76" s="5">
        <v>0.189</v>
      </c>
      <c r="E76" s="5">
        <f t="shared" si="8"/>
        <v>0.22880000000000003</v>
      </c>
      <c r="F76" s="5">
        <f t="shared" si="9"/>
        <v>0.63809523809523816</v>
      </c>
      <c r="G76" s="5">
        <f t="shared" si="10"/>
        <v>0.43344761904761908</v>
      </c>
      <c r="H76" s="1">
        <v>18</v>
      </c>
      <c r="I76" s="1">
        <v>7</v>
      </c>
      <c r="J76" s="4">
        <f t="shared" si="11"/>
        <v>0.3888888888888889</v>
      </c>
      <c r="K76" s="1" t="s">
        <v>148</v>
      </c>
    </row>
    <row r="77" spans="1:11" x14ac:dyDescent="0.3">
      <c r="A77" s="1" t="s">
        <v>16</v>
      </c>
      <c r="B77" s="1" t="s">
        <v>129</v>
      </c>
      <c r="C77" s="1">
        <v>7.92</v>
      </c>
      <c r="D77" s="5">
        <v>0.23200000000000001</v>
      </c>
      <c r="E77" s="5">
        <f t="shared" si="8"/>
        <v>0.43359999999999999</v>
      </c>
      <c r="F77" s="5">
        <f t="shared" si="9"/>
        <v>0.43333333333333335</v>
      </c>
      <c r="G77" s="5">
        <f t="shared" si="10"/>
        <v>0.43346666666666667</v>
      </c>
      <c r="H77" s="1">
        <v>19</v>
      </c>
      <c r="I77" s="1">
        <v>13</v>
      </c>
      <c r="J77" s="4">
        <f t="shared" si="11"/>
        <v>0.68421052631578949</v>
      </c>
      <c r="K77" s="1" t="s">
        <v>158</v>
      </c>
    </row>
    <row r="78" spans="1:11" x14ac:dyDescent="0.3">
      <c r="A78" s="1" t="s">
        <v>59</v>
      </c>
      <c r="B78" s="1" t="s">
        <v>74</v>
      </c>
      <c r="C78" s="1">
        <v>6.79</v>
      </c>
      <c r="D78" s="5">
        <v>0.21299999999999999</v>
      </c>
      <c r="E78" s="5">
        <f t="shared" si="8"/>
        <v>0.34320000000000001</v>
      </c>
      <c r="F78" s="5">
        <f t="shared" si="9"/>
        <v>0.52380952380952395</v>
      </c>
      <c r="G78" s="5">
        <f t="shared" si="10"/>
        <v>0.43350476190476195</v>
      </c>
      <c r="H78" s="1">
        <v>18</v>
      </c>
      <c r="I78" s="1">
        <v>7</v>
      </c>
      <c r="J78" s="4">
        <f t="shared" si="11"/>
        <v>0.3888888888888889</v>
      </c>
      <c r="K78" s="1" t="s">
        <v>158</v>
      </c>
    </row>
    <row r="79" spans="1:11" x14ac:dyDescent="0.3">
      <c r="A79" s="1" t="s">
        <v>14</v>
      </c>
      <c r="B79" s="1" t="s">
        <v>15</v>
      </c>
      <c r="C79" s="1">
        <v>4.5</v>
      </c>
      <c r="D79" s="5">
        <v>0.17399999999999999</v>
      </c>
      <c r="E79" s="5">
        <f t="shared" si="8"/>
        <v>0.16</v>
      </c>
      <c r="F79" s="5">
        <f t="shared" si="9"/>
        <v>0.70952380952380967</v>
      </c>
      <c r="G79" s="5">
        <f t="shared" si="10"/>
        <v>0.43476190476190485</v>
      </c>
      <c r="H79" s="1">
        <v>19</v>
      </c>
      <c r="I79" s="1">
        <v>10</v>
      </c>
      <c r="J79" s="4">
        <f t="shared" si="11"/>
        <v>0.52631578947368418</v>
      </c>
      <c r="K79" s="1" t="s">
        <v>164</v>
      </c>
    </row>
    <row r="80" spans="1:11" x14ac:dyDescent="0.3">
      <c r="A80" s="1" t="s">
        <v>37</v>
      </c>
      <c r="B80" s="1" t="s">
        <v>38</v>
      </c>
      <c r="C80" s="1">
        <v>4.17</v>
      </c>
      <c r="D80" s="5">
        <v>0.16700000000000001</v>
      </c>
      <c r="E80" s="5">
        <f t="shared" si="8"/>
        <v>0.1336</v>
      </c>
      <c r="F80" s="5">
        <f t="shared" si="9"/>
        <v>0.74285714285714288</v>
      </c>
      <c r="G80" s="5">
        <f t="shared" si="10"/>
        <v>0.43822857142857141</v>
      </c>
      <c r="H80" s="1">
        <v>19</v>
      </c>
      <c r="I80" s="1">
        <v>9</v>
      </c>
      <c r="J80" s="4">
        <f t="shared" si="11"/>
        <v>0.47368421052631576</v>
      </c>
      <c r="K80" s="1" t="s">
        <v>164</v>
      </c>
    </row>
    <row r="81" spans="1:11" x14ac:dyDescent="0.3">
      <c r="A81" s="1" t="s">
        <v>12</v>
      </c>
      <c r="B81" s="1" t="s">
        <v>13</v>
      </c>
      <c r="C81" s="1">
        <v>7.17</v>
      </c>
      <c r="D81" s="5">
        <v>0.217</v>
      </c>
      <c r="E81" s="5">
        <f t="shared" si="8"/>
        <v>0.37359999999999999</v>
      </c>
      <c r="F81" s="5">
        <f t="shared" si="9"/>
        <v>0.50476190476190486</v>
      </c>
      <c r="G81" s="5">
        <f t="shared" si="10"/>
        <v>0.43918095238095245</v>
      </c>
      <c r="H81" s="1">
        <v>20</v>
      </c>
      <c r="I81" s="1">
        <v>16</v>
      </c>
      <c r="J81" s="4">
        <f t="shared" si="11"/>
        <v>0.8</v>
      </c>
      <c r="K81" s="1" t="s">
        <v>152</v>
      </c>
    </row>
    <row r="82" spans="1:11" x14ac:dyDescent="0.3">
      <c r="A82" s="1" t="s">
        <v>75</v>
      </c>
      <c r="B82" s="1" t="s">
        <v>76</v>
      </c>
      <c r="C82" s="1">
        <v>5</v>
      </c>
      <c r="D82" s="5">
        <v>0.18</v>
      </c>
      <c r="E82" s="5">
        <f t="shared" si="8"/>
        <v>0.2</v>
      </c>
      <c r="F82" s="5">
        <f t="shared" si="9"/>
        <v>0.68095238095238098</v>
      </c>
      <c r="G82" s="5">
        <f t="shared" si="10"/>
        <v>0.44047619047619047</v>
      </c>
      <c r="H82" s="1">
        <v>19</v>
      </c>
      <c r="I82" s="1">
        <v>6</v>
      </c>
      <c r="J82" s="4">
        <f t="shared" si="11"/>
        <v>0.31578947368421051</v>
      </c>
      <c r="K82" s="1" t="s">
        <v>150</v>
      </c>
    </row>
    <row r="83" spans="1:11" x14ac:dyDescent="0.3">
      <c r="A83" s="1" t="s">
        <v>22</v>
      </c>
      <c r="B83" s="1" t="s">
        <v>64</v>
      </c>
      <c r="C83" s="1">
        <v>5.36</v>
      </c>
      <c r="D83" s="5">
        <v>0.186</v>
      </c>
      <c r="E83" s="5">
        <f t="shared" si="8"/>
        <v>0.22880000000000003</v>
      </c>
      <c r="F83" s="5">
        <f t="shared" si="9"/>
        <v>0.65238095238095251</v>
      </c>
      <c r="G83" s="5">
        <f t="shared" si="10"/>
        <v>0.44059047619047625</v>
      </c>
      <c r="H83" s="1">
        <v>19</v>
      </c>
      <c r="I83" s="1">
        <v>8</v>
      </c>
      <c r="J83" s="4">
        <f t="shared" si="11"/>
        <v>0.42105263157894735</v>
      </c>
      <c r="K83" s="1" t="s">
        <v>148</v>
      </c>
    </row>
    <row r="84" spans="1:11" x14ac:dyDescent="0.3">
      <c r="A84" s="1" t="s">
        <v>28</v>
      </c>
      <c r="B84" s="1" t="s">
        <v>77</v>
      </c>
      <c r="C84" s="1">
        <v>7.5</v>
      </c>
      <c r="D84" s="5">
        <v>0.221</v>
      </c>
      <c r="E84" s="5">
        <f t="shared" si="8"/>
        <v>0.4</v>
      </c>
      <c r="F84" s="5">
        <f t="shared" si="9"/>
        <v>0.48571428571428577</v>
      </c>
      <c r="G84" s="5">
        <f t="shared" si="10"/>
        <v>0.44285714285714289</v>
      </c>
      <c r="H84" s="1">
        <v>19</v>
      </c>
      <c r="I84" s="1">
        <v>7</v>
      </c>
      <c r="J84" s="4">
        <f t="shared" si="11"/>
        <v>0.36842105263157893</v>
      </c>
      <c r="K84" s="1" t="s">
        <v>155</v>
      </c>
    </row>
    <row r="85" spans="1:11" x14ac:dyDescent="0.3">
      <c r="A85" s="1" t="s">
        <v>44</v>
      </c>
      <c r="B85" s="1" t="s">
        <v>119</v>
      </c>
      <c r="C85" s="1">
        <v>6.39</v>
      </c>
      <c r="D85" s="5">
        <v>0.2</v>
      </c>
      <c r="E85" s="5">
        <f t="shared" si="8"/>
        <v>0.31119999999999998</v>
      </c>
      <c r="F85" s="5">
        <f t="shared" si="9"/>
        <v>0.58571428571428574</v>
      </c>
      <c r="G85" s="5">
        <f t="shared" si="10"/>
        <v>0.44845714285714289</v>
      </c>
      <c r="H85" s="1">
        <v>19</v>
      </c>
      <c r="I85" s="1">
        <v>9</v>
      </c>
      <c r="J85" s="4">
        <f t="shared" si="11"/>
        <v>0.47368421052631576</v>
      </c>
      <c r="K85" s="1" t="s">
        <v>148</v>
      </c>
    </row>
    <row r="86" spans="1:11" x14ac:dyDescent="0.3">
      <c r="A86" s="1" t="s">
        <v>41</v>
      </c>
      <c r="B86" s="1" t="s">
        <v>42</v>
      </c>
      <c r="C86" s="1">
        <v>5</v>
      </c>
      <c r="D86" s="5">
        <v>0.17599999999999999</v>
      </c>
      <c r="E86" s="5">
        <f t="shared" si="8"/>
        <v>0.2</v>
      </c>
      <c r="F86" s="5">
        <f t="shared" si="9"/>
        <v>0.70000000000000007</v>
      </c>
      <c r="G86" s="5">
        <f t="shared" si="10"/>
        <v>0.45000000000000007</v>
      </c>
      <c r="H86" s="1">
        <v>17</v>
      </c>
      <c r="I86" s="1">
        <v>5</v>
      </c>
      <c r="J86" s="4">
        <f t="shared" si="11"/>
        <v>0.29411764705882354</v>
      </c>
      <c r="K86" s="1" t="s">
        <v>152</v>
      </c>
    </row>
    <row r="87" spans="1:11" x14ac:dyDescent="0.3">
      <c r="A87" s="1" t="s">
        <v>34</v>
      </c>
      <c r="B87" s="1" t="s">
        <v>7</v>
      </c>
      <c r="C87" s="1">
        <v>6.5</v>
      </c>
      <c r="D87" s="5">
        <v>0.20100000000000001</v>
      </c>
      <c r="E87" s="5">
        <f t="shared" si="8"/>
        <v>0.32</v>
      </c>
      <c r="F87" s="5">
        <f t="shared" si="9"/>
        <v>0.58095238095238089</v>
      </c>
      <c r="G87" s="5">
        <f t="shared" si="10"/>
        <v>0.45047619047619047</v>
      </c>
      <c r="H87" s="1">
        <v>15</v>
      </c>
      <c r="I87" s="1">
        <v>6</v>
      </c>
      <c r="J87" s="4">
        <f t="shared" si="11"/>
        <v>0.4</v>
      </c>
      <c r="K87" s="1" t="s">
        <v>154</v>
      </c>
    </row>
    <row r="88" spans="1:11" x14ac:dyDescent="0.3">
      <c r="A88" s="1" t="s">
        <v>59</v>
      </c>
      <c r="B88" s="1" t="s">
        <v>124</v>
      </c>
      <c r="C88" s="1">
        <v>7.5</v>
      </c>
      <c r="D88" s="5">
        <v>0.216</v>
      </c>
      <c r="E88" s="5">
        <f t="shared" si="8"/>
        <v>0.4</v>
      </c>
      <c r="F88" s="5">
        <f t="shared" si="9"/>
        <v>0.5095238095238096</v>
      </c>
      <c r="G88" s="5">
        <f t="shared" si="10"/>
        <v>0.45476190476190481</v>
      </c>
      <c r="H88" s="1">
        <v>21</v>
      </c>
      <c r="I88" s="1">
        <v>7</v>
      </c>
      <c r="J88" s="4">
        <f t="shared" si="11"/>
        <v>0.33333333333333331</v>
      </c>
      <c r="K88" s="1" t="s">
        <v>158</v>
      </c>
    </row>
    <row r="89" spans="1:11" x14ac:dyDescent="0.3">
      <c r="A89" s="1" t="s">
        <v>16</v>
      </c>
      <c r="B89" s="1" t="s">
        <v>94</v>
      </c>
      <c r="C89" s="1">
        <v>7.5</v>
      </c>
      <c r="D89" s="5">
        <v>0.216</v>
      </c>
      <c r="E89" s="5">
        <f t="shared" si="8"/>
        <v>0.4</v>
      </c>
      <c r="F89" s="5">
        <f t="shared" si="9"/>
        <v>0.5095238095238096</v>
      </c>
      <c r="G89" s="5">
        <f t="shared" si="10"/>
        <v>0.45476190476190481</v>
      </c>
      <c r="H89" s="1">
        <v>20</v>
      </c>
      <c r="I89" s="1">
        <v>7</v>
      </c>
      <c r="J89" s="4">
        <f t="shared" si="11"/>
        <v>0.35</v>
      </c>
      <c r="K89" s="1" t="s">
        <v>158</v>
      </c>
    </row>
    <row r="90" spans="1:11" x14ac:dyDescent="0.3">
      <c r="A90" s="1" t="s">
        <v>52</v>
      </c>
      <c r="B90" s="1" t="s">
        <v>125</v>
      </c>
      <c r="C90" s="1">
        <v>6.59</v>
      </c>
      <c r="D90" s="5">
        <v>0.2</v>
      </c>
      <c r="E90" s="5">
        <f t="shared" si="8"/>
        <v>0.32719999999999999</v>
      </c>
      <c r="F90" s="5">
        <f t="shared" si="9"/>
        <v>0.58571428571428574</v>
      </c>
      <c r="G90" s="5">
        <f t="shared" si="10"/>
        <v>0.45645714285714289</v>
      </c>
      <c r="H90" s="1">
        <v>13</v>
      </c>
      <c r="I90" s="1">
        <v>11</v>
      </c>
      <c r="J90" s="4">
        <f t="shared" si="11"/>
        <v>0.84615384615384615</v>
      </c>
      <c r="K90" s="10" t="s">
        <v>160</v>
      </c>
    </row>
    <row r="91" spans="1:11" x14ac:dyDescent="0.3">
      <c r="A91" s="1" t="s">
        <v>6</v>
      </c>
      <c r="B91" s="1" t="s">
        <v>7</v>
      </c>
      <c r="C91" s="1">
        <v>5</v>
      </c>
      <c r="D91" s="5">
        <v>0.17100000000000001</v>
      </c>
      <c r="E91" s="5">
        <f t="shared" si="8"/>
        <v>0.2</v>
      </c>
      <c r="F91" s="5">
        <f t="shared" si="9"/>
        <v>0.72380952380952379</v>
      </c>
      <c r="G91" s="5">
        <f t="shared" si="10"/>
        <v>0.46190476190476193</v>
      </c>
      <c r="H91" s="1">
        <v>20</v>
      </c>
      <c r="I91" s="1">
        <v>9</v>
      </c>
      <c r="J91" s="4">
        <f t="shared" si="11"/>
        <v>0.45</v>
      </c>
      <c r="K91" s="1" t="s">
        <v>158</v>
      </c>
    </row>
    <row r="92" spans="1:11" x14ac:dyDescent="0.3">
      <c r="A92" s="1" t="s">
        <v>44</v>
      </c>
      <c r="B92" s="1" t="s">
        <v>104</v>
      </c>
      <c r="C92" s="1">
        <v>5</v>
      </c>
      <c r="D92" s="5">
        <v>0.17</v>
      </c>
      <c r="E92" s="5">
        <f t="shared" si="8"/>
        <v>0.2</v>
      </c>
      <c r="F92" s="5">
        <f t="shared" si="9"/>
        <v>0.72857142857142854</v>
      </c>
      <c r="G92" s="5">
        <f t="shared" si="10"/>
        <v>0.4642857142857143</v>
      </c>
      <c r="H92" s="1">
        <v>19</v>
      </c>
      <c r="I92" s="1">
        <v>6</v>
      </c>
      <c r="J92" s="4">
        <f t="shared" si="11"/>
        <v>0.31578947368421051</v>
      </c>
      <c r="K92" s="1" t="s">
        <v>148</v>
      </c>
    </row>
    <row r="93" spans="1:11" x14ac:dyDescent="0.3">
      <c r="A93" s="1" t="s">
        <v>34</v>
      </c>
      <c r="B93" s="1" t="s">
        <v>7</v>
      </c>
      <c r="C93" s="1">
        <v>6.67</v>
      </c>
      <c r="D93" s="5">
        <v>0.19800000000000001</v>
      </c>
      <c r="E93" s="5">
        <f t="shared" si="8"/>
        <v>0.33360000000000001</v>
      </c>
      <c r="F93" s="5">
        <f t="shared" si="9"/>
        <v>0.59523809523809523</v>
      </c>
      <c r="G93" s="5">
        <f t="shared" si="10"/>
        <v>0.46441904761904762</v>
      </c>
      <c r="H93" s="1">
        <v>21</v>
      </c>
      <c r="I93" s="1">
        <v>12</v>
      </c>
      <c r="J93" s="4">
        <f t="shared" si="11"/>
        <v>0.5714285714285714</v>
      </c>
      <c r="K93" s="1" t="s">
        <v>154</v>
      </c>
    </row>
    <row r="94" spans="1:11" x14ac:dyDescent="0.3">
      <c r="A94" s="1" t="s">
        <v>75</v>
      </c>
      <c r="B94" s="1" t="s">
        <v>76</v>
      </c>
      <c r="C94" s="1">
        <v>6.5</v>
      </c>
      <c r="D94" s="5">
        <v>0.19500000000000001</v>
      </c>
      <c r="E94" s="5">
        <f t="shared" si="8"/>
        <v>0.32</v>
      </c>
      <c r="F94" s="5">
        <f t="shared" si="9"/>
        <v>0.60952380952380958</v>
      </c>
      <c r="G94" s="5">
        <f t="shared" si="10"/>
        <v>0.46476190476190482</v>
      </c>
      <c r="H94" s="1">
        <v>18</v>
      </c>
      <c r="I94" s="1">
        <v>6</v>
      </c>
      <c r="J94" s="4">
        <f t="shared" si="11"/>
        <v>0.33333333333333331</v>
      </c>
      <c r="K94" s="1" t="s">
        <v>150</v>
      </c>
    </row>
    <row r="95" spans="1:11" x14ac:dyDescent="0.3">
      <c r="A95" s="1" t="s">
        <v>44</v>
      </c>
      <c r="B95" s="1" t="s">
        <v>45</v>
      </c>
      <c r="C95" s="1">
        <v>6.59</v>
      </c>
      <c r="D95" s="5">
        <v>0.193</v>
      </c>
      <c r="E95" s="5">
        <f t="shared" si="8"/>
        <v>0.32719999999999999</v>
      </c>
      <c r="F95" s="5">
        <f t="shared" si="9"/>
        <v>0.61904761904761907</v>
      </c>
      <c r="G95" s="5">
        <f t="shared" si="10"/>
        <v>0.4731238095238095</v>
      </c>
      <c r="H95" s="1">
        <v>19</v>
      </c>
      <c r="I95" s="1">
        <v>12</v>
      </c>
      <c r="J95" s="4">
        <f t="shared" si="11"/>
        <v>0.63157894736842102</v>
      </c>
      <c r="K95" s="1" t="s">
        <v>148</v>
      </c>
    </row>
    <row r="96" spans="1:11" x14ac:dyDescent="0.3">
      <c r="A96" s="1" t="s">
        <v>34</v>
      </c>
      <c r="B96" s="1" t="s">
        <v>7</v>
      </c>
      <c r="C96" s="1">
        <v>8.2100000000000009</v>
      </c>
      <c r="D96" s="5">
        <v>0.22</v>
      </c>
      <c r="E96" s="5">
        <f t="shared" si="8"/>
        <v>0.45680000000000009</v>
      </c>
      <c r="F96" s="5">
        <f t="shared" si="9"/>
        <v>0.49047619047619051</v>
      </c>
      <c r="G96" s="5">
        <f t="shared" si="10"/>
        <v>0.4736380952380953</v>
      </c>
      <c r="H96" s="1">
        <v>19</v>
      </c>
      <c r="I96" s="1">
        <v>8</v>
      </c>
      <c r="J96" s="4">
        <f t="shared" si="11"/>
        <v>0.42105263157894735</v>
      </c>
      <c r="K96" s="1" t="s">
        <v>154</v>
      </c>
    </row>
    <row r="97" spans="1:11" x14ac:dyDescent="0.3">
      <c r="A97" s="1" t="s">
        <v>59</v>
      </c>
      <c r="B97" s="1" t="s">
        <v>99</v>
      </c>
      <c r="C97" s="1">
        <v>6.79</v>
      </c>
      <c r="D97" s="5">
        <v>0.19500000000000001</v>
      </c>
      <c r="E97" s="5">
        <f t="shared" si="8"/>
        <v>0.34320000000000001</v>
      </c>
      <c r="F97" s="5">
        <f t="shared" si="9"/>
        <v>0.60952380952380958</v>
      </c>
      <c r="G97" s="5">
        <f t="shared" si="10"/>
        <v>0.47636190476190476</v>
      </c>
      <c r="H97" s="1">
        <v>17</v>
      </c>
      <c r="I97" s="1">
        <v>8</v>
      </c>
      <c r="J97" s="4">
        <f t="shared" si="11"/>
        <v>0.47058823529411764</v>
      </c>
      <c r="K97" s="1" t="s">
        <v>158</v>
      </c>
    </row>
    <row r="98" spans="1:11" x14ac:dyDescent="0.3">
      <c r="A98" s="1" t="s">
        <v>8</v>
      </c>
      <c r="B98" s="1" t="s">
        <v>9</v>
      </c>
      <c r="C98" s="1">
        <v>7.5</v>
      </c>
      <c r="D98" s="5">
        <v>0.20599999999999999</v>
      </c>
      <c r="E98" s="5">
        <f t="shared" ref="E98:E132" si="12">(C98 - MIN(C:C)) / (MAX(C:C) - MIN(C:C))</f>
        <v>0.4</v>
      </c>
      <c r="F98" s="5">
        <f t="shared" ref="F98:F132" si="13">1 - ((D98 - MIN(D:D)) / (MAX(D:D) - MIN(D:D)))</f>
        <v>0.55714285714285727</v>
      </c>
      <c r="G98" s="5">
        <f t="shared" ref="G98:G129" si="14">0.5 *E98+0.5*F98</f>
        <v>0.47857142857142865</v>
      </c>
      <c r="H98" s="1">
        <v>18</v>
      </c>
      <c r="I98" s="1">
        <v>6</v>
      </c>
      <c r="J98" s="4">
        <f t="shared" ref="J98:J129" si="15">I98/H98</f>
        <v>0.33333333333333331</v>
      </c>
      <c r="K98" s="1" t="s">
        <v>150</v>
      </c>
    </row>
    <row r="99" spans="1:11" x14ac:dyDescent="0.3">
      <c r="A99" s="1" t="s">
        <v>69</v>
      </c>
      <c r="B99" s="1" t="s">
        <v>19</v>
      </c>
      <c r="C99" s="1">
        <v>5.68</v>
      </c>
      <c r="D99" s="5">
        <v>0.17100000000000001</v>
      </c>
      <c r="E99" s="5">
        <f t="shared" si="12"/>
        <v>0.25439999999999996</v>
      </c>
      <c r="F99" s="5">
        <f t="shared" si="13"/>
        <v>0.72380952380952379</v>
      </c>
      <c r="G99" s="5">
        <f t="shared" si="14"/>
        <v>0.48910476190476188</v>
      </c>
      <c r="H99" s="1">
        <v>25</v>
      </c>
      <c r="I99" s="1">
        <v>11</v>
      </c>
      <c r="J99" s="4">
        <f t="shared" si="15"/>
        <v>0.44</v>
      </c>
      <c r="K99" s="1" t="s">
        <v>151</v>
      </c>
    </row>
    <row r="100" spans="1:11" x14ac:dyDescent="0.3">
      <c r="A100" s="1" t="s">
        <v>8</v>
      </c>
      <c r="B100" s="1" t="s">
        <v>9</v>
      </c>
      <c r="C100" s="1">
        <v>4.17</v>
      </c>
      <c r="D100" s="5">
        <v>0.14299999999999999</v>
      </c>
      <c r="E100" s="5">
        <f t="shared" si="12"/>
        <v>0.1336</v>
      </c>
      <c r="F100" s="5">
        <f t="shared" si="13"/>
        <v>0.85714285714285721</v>
      </c>
      <c r="G100" s="5">
        <f t="shared" si="14"/>
        <v>0.49537142857142857</v>
      </c>
      <c r="H100" s="1">
        <v>19</v>
      </c>
      <c r="I100" s="1">
        <v>7</v>
      </c>
      <c r="J100" s="4">
        <f t="shared" si="15"/>
        <v>0.36842105263157893</v>
      </c>
      <c r="K100" s="1" t="s">
        <v>150</v>
      </c>
    </row>
    <row r="101" spans="1:11" x14ac:dyDescent="0.3">
      <c r="A101" s="1" t="s">
        <v>71</v>
      </c>
      <c r="B101" s="1" t="s">
        <v>72</v>
      </c>
      <c r="C101" s="1">
        <v>7.12</v>
      </c>
      <c r="D101" s="5">
        <v>0.191</v>
      </c>
      <c r="E101" s="5">
        <f t="shared" si="12"/>
        <v>0.36959999999999998</v>
      </c>
      <c r="F101" s="5">
        <f t="shared" si="13"/>
        <v>0.62857142857142856</v>
      </c>
      <c r="G101" s="5">
        <f t="shared" si="14"/>
        <v>0.49908571428571424</v>
      </c>
      <c r="H101" s="1">
        <v>21</v>
      </c>
      <c r="I101" s="1">
        <v>14</v>
      </c>
      <c r="J101" s="4">
        <f t="shared" si="15"/>
        <v>0.66666666666666663</v>
      </c>
      <c r="K101" s="10" t="s">
        <v>161</v>
      </c>
    </row>
    <row r="102" spans="1:11" x14ac:dyDescent="0.3">
      <c r="A102" s="1" t="s">
        <v>67</v>
      </c>
      <c r="B102" s="1" t="s">
        <v>117</v>
      </c>
      <c r="C102" s="1">
        <v>8.86</v>
      </c>
      <c r="D102" s="5">
        <v>0.218</v>
      </c>
      <c r="E102" s="5">
        <f t="shared" si="12"/>
        <v>0.50879999999999992</v>
      </c>
      <c r="F102" s="5">
        <f t="shared" si="13"/>
        <v>0.5</v>
      </c>
      <c r="G102" s="5">
        <f t="shared" si="14"/>
        <v>0.50439999999999996</v>
      </c>
      <c r="H102" s="1">
        <v>21</v>
      </c>
      <c r="I102" s="1">
        <v>12</v>
      </c>
      <c r="J102" s="4">
        <f t="shared" si="15"/>
        <v>0.5714285714285714</v>
      </c>
      <c r="K102" s="10" t="s">
        <v>160</v>
      </c>
    </row>
    <row r="103" spans="1:11" x14ac:dyDescent="0.3">
      <c r="A103" s="1" t="s">
        <v>6</v>
      </c>
      <c r="B103" s="1" t="s">
        <v>40</v>
      </c>
      <c r="C103" s="1">
        <v>4</v>
      </c>
      <c r="D103" s="5">
        <v>0.13600000000000001</v>
      </c>
      <c r="E103" s="5">
        <f t="shared" si="12"/>
        <v>0.12</v>
      </c>
      <c r="F103" s="5">
        <f t="shared" si="13"/>
        <v>0.89047619047619042</v>
      </c>
      <c r="G103" s="5">
        <f t="shared" si="14"/>
        <v>0.50523809523809526</v>
      </c>
      <c r="H103" s="1">
        <v>23</v>
      </c>
      <c r="I103" s="1">
        <v>11</v>
      </c>
      <c r="J103" s="4">
        <f t="shared" si="15"/>
        <v>0.47826086956521741</v>
      </c>
      <c r="K103" s="1" t="s">
        <v>158</v>
      </c>
    </row>
    <row r="104" spans="1:11" x14ac:dyDescent="0.3">
      <c r="A104" s="1" t="s">
        <v>18</v>
      </c>
      <c r="B104" s="1" t="s">
        <v>19</v>
      </c>
      <c r="C104" s="1">
        <v>7.05</v>
      </c>
      <c r="D104" s="5">
        <v>0.185</v>
      </c>
      <c r="E104" s="5">
        <f t="shared" si="12"/>
        <v>0.36399999999999999</v>
      </c>
      <c r="F104" s="5">
        <f t="shared" si="13"/>
        <v>0.65714285714285725</v>
      </c>
      <c r="G104" s="5">
        <f t="shared" si="14"/>
        <v>0.51057142857142868</v>
      </c>
      <c r="H104" s="1">
        <v>26</v>
      </c>
      <c r="I104" s="1">
        <v>12</v>
      </c>
      <c r="J104" s="4">
        <f t="shared" si="15"/>
        <v>0.46153846153846156</v>
      </c>
      <c r="K104" s="10" t="s">
        <v>151</v>
      </c>
    </row>
    <row r="105" spans="1:11" x14ac:dyDescent="0.3">
      <c r="A105" s="1" t="s">
        <v>59</v>
      </c>
      <c r="B105" s="1" t="s">
        <v>124</v>
      </c>
      <c r="C105" s="1">
        <v>8.75</v>
      </c>
      <c r="D105" s="5">
        <v>0.21099999999999999</v>
      </c>
      <c r="E105" s="5">
        <f t="shared" si="12"/>
        <v>0.5</v>
      </c>
      <c r="F105" s="5">
        <f t="shared" si="13"/>
        <v>0.53333333333333344</v>
      </c>
      <c r="G105" s="5">
        <f t="shared" si="14"/>
        <v>0.51666666666666672</v>
      </c>
      <c r="H105" s="1">
        <v>17</v>
      </c>
      <c r="I105" s="1">
        <v>5</v>
      </c>
      <c r="J105" s="4">
        <f t="shared" si="15"/>
        <v>0.29411764705882354</v>
      </c>
      <c r="K105" s="1" t="s">
        <v>158</v>
      </c>
    </row>
    <row r="106" spans="1:11" x14ac:dyDescent="0.3">
      <c r="A106" s="1" t="s">
        <v>59</v>
      </c>
      <c r="B106" s="1" t="s">
        <v>60</v>
      </c>
      <c r="C106" s="1">
        <v>7</v>
      </c>
      <c r="D106" s="5">
        <v>0.18</v>
      </c>
      <c r="E106" s="5">
        <f t="shared" si="12"/>
        <v>0.36</v>
      </c>
      <c r="F106" s="5">
        <f t="shared" si="13"/>
        <v>0.68095238095238098</v>
      </c>
      <c r="G106" s="5">
        <f t="shared" si="14"/>
        <v>0.52047619047619054</v>
      </c>
      <c r="H106" s="1">
        <v>19</v>
      </c>
      <c r="I106" s="1">
        <v>10</v>
      </c>
      <c r="J106" s="4">
        <f t="shared" si="15"/>
        <v>0.52631578947368418</v>
      </c>
      <c r="K106" s="1" t="s">
        <v>158</v>
      </c>
    </row>
    <row r="107" spans="1:11" x14ac:dyDescent="0.3">
      <c r="A107" s="1" t="s">
        <v>37</v>
      </c>
      <c r="B107" s="1" t="s">
        <v>89</v>
      </c>
      <c r="C107" s="1">
        <v>4.5</v>
      </c>
      <c r="D107" s="5">
        <v>0.13700000000000001</v>
      </c>
      <c r="E107" s="5">
        <f t="shared" si="12"/>
        <v>0.16</v>
      </c>
      <c r="F107" s="5">
        <f t="shared" si="13"/>
        <v>0.88571428571428568</v>
      </c>
      <c r="G107" s="5">
        <f t="shared" si="14"/>
        <v>0.5228571428571428</v>
      </c>
      <c r="H107" s="1">
        <v>19</v>
      </c>
      <c r="I107" s="1">
        <v>15</v>
      </c>
      <c r="J107" s="4">
        <f t="shared" si="15"/>
        <v>0.78947368421052633</v>
      </c>
      <c r="K107" s="1" t="s">
        <v>164</v>
      </c>
    </row>
    <row r="108" spans="1:11" x14ac:dyDescent="0.3">
      <c r="A108" s="1" t="s">
        <v>20</v>
      </c>
      <c r="B108" s="1" t="s">
        <v>29</v>
      </c>
      <c r="C108" s="1">
        <v>9.64</v>
      </c>
      <c r="D108" s="5">
        <v>0.222</v>
      </c>
      <c r="E108" s="5">
        <f t="shared" si="12"/>
        <v>0.57120000000000004</v>
      </c>
      <c r="F108" s="5">
        <f t="shared" si="13"/>
        <v>0.48095238095238102</v>
      </c>
      <c r="G108" s="5">
        <f t="shared" si="14"/>
        <v>0.52607619047619059</v>
      </c>
      <c r="H108" s="1">
        <v>21</v>
      </c>
      <c r="I108" s="1">
        <v>11</v>
      </c>
      <c r="J108" s="4">
        <f t="shared" si="15"/>
        <v>0.52380952380952384</v>
      </c>
      <c r="K108" s="1" t="s">
        <v>155</v>
      </c>
    </row>
    <row r="109" spans="1:11" x14ac:dyDescent="0.3">
      <c r="A109" s="1" t="s">
        <v>6</v>
      </c>
      <c r="B109" s="1" t="s">
        <v>7</v>
      </c>
      <c r="C109" s="1">
        <v>7.5</v>
      </c>
      <c r="D109" s="5">
        <v>0.184</v>
      </c>
      <c r="E109" s="5">
        <f t="shared" si="12"/>
        <v>0.4</v>
      </c>
      <c r="F109" s="5">
        <f t="shared" si="13"/>
        <v>0.661904761904762</v>
      </c>
      <c r="G109" s="5">
        <f t="shared" si="14"/>
        <v>0.53095238095238106</v>
      </c>
      <c r="H109" s="1">
        <v>16</v>
      </c>
      <c r="I109" s="1">
        <v>8</v>
      </c>
      <c r="J109" s="4">
        <f t="shared" si="15"/>
        <v>0.5</v>
      </c>
      <c r="K109" s="1" t="s">
        <v>158</v>
      </c>
    </row>
    <row r="110" spans="1:11" x14ac:dyDescent="0.3">
      <c r="A110" s="1" t="s">
        <v>41</v>
      </c>
      <c r="B110" s="1" t="s">
        <v>43</v>
      </c>
      <c r="C110" s="1">
        <v>6.67</v>
      </c>
      <c r="D110" s="5">
        <v>0.17</v>
      </c>
      <c r="E110" s="5">
        <f t="shared" si="12"/>
        <v>0.33360000000000001</v>
      </c>
      <c r="F110" s="5">
        <f t="shared" si="13"/>
        <v>0.72857142857142854</v>
      </c>
      <c r="G110" s="5">
        <f t="shared" si="14"/>
        <v>0.53108571428571427</v>
      </c>
      <c r="H110" s="1">
        <v>19</v>
      </c>
      <c r="I110" s="1">
        <v>6</v>
      </c>
      <c r="J110" s="4">
        <f t="shared" si="15"/>
        <v>0.31578947368421051</v>
      </c>
      <c r="K110" s="1" t="s">
        <v>152</v>
      </c>
    </row>
    <row r="111" spans="1:11" x14ac:dyDescent="0.3">
      <c r="A111" s="1" t="s">
        <v>20</v>
      </c>
      <c r="B111" s="1" t="s">
        <v>21</v>
      </c>
      <c r="C111" s="1">
        <v>7.5</v>
      </c>
      <c r="D111" s="5">
        <v>0.183</v>
      </c>
      <c r="E111" s="5">
        <f t="shared" si="12"/>
        <v>0.4</v>
      </c>
      <c r="F111" s="5">
        <f t="shared" si="13"/>
        <v>0.66666666666666674</v>
      </c>
      <c r="G111" s="5">
        <f t="shared" si="14"/>
        <v>0.53333333333333344</v>
      </c>
      <c r="H111" s="1">
        <v>20</v>
      </c>
      <c r="I111" s="1">
        <v>8</v>
      </c>
      <c r="J111" s="4">
        <f t="shared" si="15"/>
        <v>0.4</v>
      </c>
      <c r="K111" s="1" t="s">
        <v>155</v>
      </c>
    </row>
    <row r="112" spans="1:11" x14ac:dyDescent="0.3">
      <c r="A112" s="1" t="s">
        <v>41</v>
      </c>
      <c r="B112" s="1" t="s">
        <v>128</v>
      </c>
      <c r="C112" s="1">
        <v>7.5</v>
      </c>
      <c r="D112" s="5">
        <v>0.17899999999999999</v>
      </c>
      <c r="E112" s="5">
        <f t="shared" si="12"/>
        <v>0.4</v>
      </c>
      <c r="F112" s="5">
        <f t="shared" si="13"/>
        <v>0.68571428571428572</v>
      </c>
      <c r="G112" s="5">
        <f t="shared" si="14"/>
        <v>0.54285714285714293</v>
      </c>
      <c r="H112" s="1">
        <v>17</v>
      </c>
      <c r="I112" s="1">
        <v>8</v>
      </c>
      <c r="J112" s="4">
        <f t="shared" si="15"/>
        <v>0.47058823529411764</v>
      </c>
      <c r="K112" s="1" t="s">
        <v>152</v>
      </c>
    </row>
    <row r="113" spans="1:11" x14ac:dyDescent="0.3">
      <c r="A113" s="1" t="s">
        <v>34</v>
      </c>
      <c r="B113" s="1" t="s">
        <v>7</v>
      </c>
      <c r="C113" s="1">
        <v>6.25</v>
      </c>
      <c r="D113" s="5">
        <v>0.157</v>
      </c>
      <c r="E113" s="5">
        <f t="shared" si="12"/>
        <v>0.3</v>
      </c>
      <c r="F113" s="5">
        <f t="shared" si="13"/>
        <v>0.79047619047619055</v>
      </c>
      <c r="G113" s="5">
        <f t="shared" si="14"/>
        <v>0.5452380952380953</v>
      </c>
      <c r="H113" s="1">
        <v>14</v>
      </c>
      <c r="I113" s="1">
        <v>4</v>
      </c>
      <c r="J113" s="4">
        <f t="shared" si="15"/>
        <v>0.2857142857142857</v>
      </c>
      <c r="K113" s="1" t="s">
        <v>154</v>
      </c>
    </row>
    <row r="114" spans="1:11" x14ac:dyDescent="0.3">
      <c r="A114" s="1" t="s">
        <v>65</v>
      </c>
      <c r="B114" s="1" t="s">
        <v>66</v>
      </c>
      <c r="C114" s="1">
        <v>12.5</v>
      </c>
      <c r="D114" s="5">
        <v>0.25900000000000001</v>
      </c>
      <c r="E114" s="5">
        <f t="shared" si="12"/>
        <v>0.8</v>
      </c>
      <c r="F114" s="5">
        <f t="shared" si="13"/>
        <v>0.30476190476190479</v>
      </c>
      <c r="G114" s="5">
        <f t="shared" si="14"/>
        <v>0.55238095238095242</v>
      </c>
      <c r="H114" s="1">
        <v>26</v>
      </c>
      <c r="I114" s="1">
        <v>14</v>
      </c>
      <c r="J114" s="4">
        <f t="shared" si="15"/>
        <v>0.53846153846153844</v>
      </c>
      <c r="K114" s="1" t="s">
        <v>156</v>
      </c>
    </row>
    <row r="115" spans="1:11" x14ac:dyDescent="0.3">
      <c r="A115" s="1" t="s">
        <v>18</v>
      </c>
      <c r="B115" s="1" t="s">
        <v>135</v>
      </c>
      <c r="C115" s="1">
        <v>8.75</v>
      </c>
      <c r="D115" s="5">
        <v>0.192</v>
      </c>
      <c r="E115" s="5">
        <f t="shared" si="12"/>
        <v>0.5</v>
      </c>
      <c r="F115" s="5">
        <f t="shared" si="13"/>
        <v>0.62380952380952381</v>
      </c>
      <c r="G115" s="5">
        <f t="shared" si="14"/>
        <v>0.56190476190476191</v>
      </c>
      <c r="H115" s="1">
        <v>26</v>
      </c>
      <c r="I115" s="1">
        <v>10</v>
      </c>
      <c r="J115" s="4">
        <f t="shared" si="15"/>
        <v>0.38461538461538464</v>
      </c>
      <c r="K115" s="10" t="s">
        <v>151</v>
      </c>
    </row>
    <row r="116" spans="1:11" x14ac:dyDescent="0.3">
      <c r="A116" s="1" t="s">
        <v>34</v>
      </c>
      <c r="B116" s="1" t="s">
        <v>7</v>
      </c>
      <c r="C116" s="1">
        <v>8.5</v>
      </c>
      <c r="D116" s="5">
        <v>0.187</v>
      </c>
      <c r="E116" s="5">
        <f t="shared" si="12"/>
        <v>0.48</v>
      </c>
      <c r="F116" s="5">
        <f t="shared" si="13"/>
        <v>0.64761904761904765</v>
      </c>
      <c r="G116" s="5">
        <f t="shared" si="14"/>
        <v>0.56380952380952376</v>
      </c>
      <c r="H116" s="1">
        <v>19</v>
      </c>
      <c r="I116" s="1">
        <v>7</v>
      </c>
      <c r="J116" s="4">
        <f t="shared" si="15"/>
        <v>0.36842105263157893</v>
      </c>
      <c r="K116" s="1" t="s">
        <v>154</v>
      </c>
    </row>
    <row r="117" spans="1:11" x14ac:dyDescent="0.3">
      <c r="A117" s="1" t="s">
        <v>44</v>
      </c>
      <c r="B117" s="1" t="s">
        <v>104</v>
      </c>
      <c r="C117" s="1">
        <v>7.5</v>
      </c>
      <c r="D117" s="5">
        <v>0.16900000000000001</v>
      </c>
      <c r="E117" s="5">
        <f t="shared" si="12"/>
        <v>0.4</v>
      </c>
      <c r="F117" s="5">
        <f t="shared" si="13"/>
        <v>0.73333333333333339</v>
      </c>
      <c r="G117" s="5">
        <f t="shared" si="14"/>
        <v>0.56666666666666665</v>
      </c>
      <c r="H117" s="1">
        <v>19</v>
      </c>
      <c r="I117" s="1">
        <v>5</v>
      </c>
      <c r="J117" s="4">
        <f t="shared" si="15"/>
        <v>0.26315789473684209</v>
      </c>
      <c r="K117" s="1" t="s">
        <v>148</v>
      </c>
    </row>
    <row r="118" spans="1:11" x14ac:dyDescent="0.3">
      <c r="A118" s="1" t="s">
        <v>28</v>
      </c>
      <c r="B118" s="1" t="s">
        <v>29</v>
      </c>
      <c r="C118" s="1">
        <v>8.65</v>
      </c>
      <c r="D118" s="5">
        <v>0.186</v>
      </c>
      <c r="E118" s="5">
        <f t="shared" si="12"/>
        <v>0.49200000000000005</v>
      </c>
      <c r="F118" s="5">
        <f t="shared" si="13"/>
        <v>0.65238095238095251</v>
      </c>
      <c r="G118" s="5">
        <f t="shared" si="14"/>
        <v>0.57219047619047625</v>
      </c>
      <c r="H118" s="1">
        <v>20</v>
      </c>
      <c r="I118" s="1">
        <v>13</v>
      </c>
      <c r="J118" s="4">
        <f t="shared" si="15"/>
        <v>0.65</v>
      </c>
      <c r="K118" s="1" t="s">
        <v>155</v>
      </c>
    </row>
    <row r="119" spans="1:11" x14ac:dyDescent="0.3">
      <c r="A119" s="1" t="s">
        <v>12</v>
      </c>
      <c r="B119" s="1" t="s">
        <v>122</v>
      </c>
      <c r="C119" s="1">
        <v>7.5</v>
      </c>
      <c r="D119" s="5">
        <v>0.16300000000000001</v>
      </c>
      <c r="E119" s="5">
        <f t="shared" si="12"/>
        <v>0.4</v>
      </c>
      <c r="F119" s="5">
        <f t="shared" si="13"/>
        <v>0.76190476190476186</v>
      </c>
      <c r="G119" s="5">
        <f t="shared" si="14"/>
        <v>0.58095238095238089</v>
      </c>
      <c r="H119" s="1">
        <v>16</v>
      </c>
      <c r="I119" s="1">
        <v>6</v>
      </c>
      <c r="J119" s="4">
        <f t="shared" si="15"/>
        <v>0.375</v>
      </c>
      <c r="K119" s="1" t="s">
        <v>152</v>
      </c>
    </row>
    <row r="120" spans="1:11" x14ac:dyDescent="0.3">
      <c r="A120" s="1" t="s">
        <v>28</v>
      </c>
      <c r="B120" s="1" t="s">
        <v>77</v>
      </c>
      <c r="C120" s="1">
        <v>8</v>
      </c>
      <c r="D120" s="5">
        <v>0.16900000000000001</v>
      </c>
      <c r="E120" s="5">
        <f t="shared" si="12"/>
        <v>0.44</v>
      </c>
      <c r="F120" s="5">
        <f t="shared" si="13"/>
        <v>0.73333333333333339</v>
      </c>
      <c r="G120" s="5">
        <f t="shared" si="14"/>
        <v>0.58666666666666667</v>
      </c>
      <c r="H120" s="1">
        <v>18</v>
      </c>
      <c r="I120" s="1">
        <v>10</v>
      </c>
      <c r="J120" s="4">
        <f t="shared" si="15"/>
        <v>0.55555555555555558</v>
      </c>
      <c r="K120" s="1" t="s">
        <v>155</v>
      </c>
    </row>
    <row r="121" spans="1:11" x14ac:dyDescent="0.3">
      <c r="A121" s="1" t="s">
        <v>12</v>
      </c>
      <c r="B121" s="1" t="s">
        <v>43</v>
      </c>
      <c r="C121" s="1">
        <v>11.25</v>
      </c>
      <c r="D121" s="5">
        <v>0.222</v>
      </c>
      <c r="E121" s="5">
        <f t="shared" si="12"/>
        <v>0.7</v>
      </c>
      <c r="F121" s="5">
        <f t="shared" si="13"/>
        <v>0.48095238095238102</v>
      </c>
      <c r="G121" s="5">
        <f t="shared" si="14"/>
        <v>0.59047619047619049</v>
      </c>
      <c r="H121" s="1">
        <v>15</v>
      </c>
      <c r="I121" s="1">
        <v>6</v>
      </c>
      <c r="J121" s="4">
        <f t="shared" si="15"/>
        <v>0.4</v>
      </c>
      <c r="K121" s="1" t="s">
        <v>152</v>
      </c>
    </row>
    <row r="122" spans="1:11" x14ac:dyDescent="0.3">
      <c r="A122" s="1" t="s">
        <v>41</v>
      </c>
      <c r="B122" s="1" t="s">
        <v>92</v>
      </c>
      <c r="C122" s="1">
        <v>8.75</v>
      </c>
      <c r="D122" s="5">
        <v>0.17799999999999999</v>
      </c>
      <c r="E122" s="5">
        <f t="shared" si="12"/>
        <v>0.5</v>
      </c>
      <c r="F122" s="5">
        <f t="shared" si="13"/>
        <v>0.69047619047619058</v>
      </c>
      <c r="G122" s="5">
        <f t="shared" si="14"/>
        <v>0.59523809523809534</v>
      </c>
      <c r="H122" s="1">
        <v>17</v>
      </c>
      <c r="I122" s="1">
        <v>8</v>
      </c>
      <c r="J122" s="4">
        <f t="shared" si="15"/>
        <v>0.47058823529411764</v>
      </c>
      <c r="K122" s="1" t="s">
        <v>152</v>
      </c>
    </row>
    <row r="123" spans="1:11" x14ac:dyDescent="0.3">
      <c r="A123" s="1" t="s">
        <v>24</v>
      </c>
      <c r="B123" s="1" t="s">
        <v>7</v>
      </c>
      <c r="C123" s="1">
        <v>7.5</v>
      </c>
      <c r="D123" s="5">
        <v>0.157</v>
      </c>
      <c r="E123" s="5">
        <f t="shared" si="12"/>
        <v>0.4</v>
      </c>
      <c r="F123" s="5">
        <f t="shared" si="13"/>
        <v>0.79047619047619055</v>
      </c>
      <c r="G123" s="5">
        <f t="shared" si="14"/>
        <v>0.59523809523809534</v>
      </c>
      <c r="H123" s="1">
        <v>16</v>
      </c>
      <c r="I123" s="1">
        <v>8</v>
      </c>
      <c r="J123" s="4">
        <f t="shared" si="15"/>
        <v>0.5</v>
      </c>
      <c r="K123" s="1" t="s">
        <v>154</v>
      </c>
    </row>
    <row r="124" spans="1:11" x14ac:dyDescent="0.3">
      <c r="A124" s="1" t="s">
        <v>44</v>
      </c>
      <c r="B124" s="1" t="s">
        <v>30</v>
      </c>
      <c r="C124" s="1">
        <v>5.5</v>
      </c>
      <c r="D124" s="5">
        <v>0.11799999999999999</v>
      </c>
      <c r="E124" s="5">
        <f t="shared" si="12"/>
        <v>0.24</v>
      </c>
      <c r="F124" s="5">
        <f t="shared" si="13"/>
        <v>0.97619047619047628</v>
      </c>
      <c r="G124" s="5">
        <f t="shared" si="14"/>
        <v>0.60809523809523813</v>
      </c>
      <c r="H124" s="1">
        <v>21</v>
      </c>
      <c r="I124" s="1">
        <v>6</v>
      </c>
      <c r="J124" s="4">
        <f t="shared" si="15"/>
        <v>0.2857142857142857</v>
      </c>
      <c r="K124" s="1" t="s">
        <v>148</v>
      </c>
    </row>
    <row r="125" spans="1:11" x14ac:dyDescent="0.3">
      <c r="A125" s="1" t="s">
        <v>41</v>
      </c>
      <c r="B125" s="1" t="s">
        <v>128</v>
      </c>
      <c r="C125" s="1">
        <v>9.5</v>
      </c>
      <c r="D125" s="5">
        <v>0.184</v>
      </c>
      <c r="E125" s="5">
        <f t="shared" si="12"/>
        <v>0.56000000000000005</v>
      </c>
      <c r="F125" s="5">
        <f t="shared" si="13"/>
        <v>0.661904761904762</v>
      </c>
      <c r="G125" s="5">
        <f t="shared" si="14"/>
        <v>0.61095238095238102</v>
      </c>
      <c r="H125" s="1">
        <v>16</v>
      </c>
      <c r="I125" s="1">
        <v>5</v>
      </c>
      <c r="J125" s="4">
        <f t="shared" si="15"/>
        <v>0.3125</v>
      </c>
      <c r="K125" s="1" t="s">
        <v>152</v>
      </c>
    </row>
    <row r="126" spans="1:11" x14ac:dyDescent="0.3">
      <c r="A126" s="1" t="s">
        <v>14</v>
      </c>
      <c r="B126" s="1" t="s">
        <v>89</v>
      </c>
      <c r="C126" s="1">
        <v>6.67</v>
      </c>
      <c r="D126" s="5">
        <v>0.13300000000000001</v>
      </c>
      <c r="E126" s="5">
        <f t="shared" si="12"/>
        <v>0.33360000000000001</v>
      </c>
      <c r="F126" s="5">
        <f t="shared" si="13"/>
        <v>0.90476190476190477</v>
      </c>
      <c r="G126" s="5">
        <f t="shared" si="14"/>
        <v>0.61918095238095239</v>
      </c>
      <c r="H126" s="1">
        <v>19</v>
      </c>
      <c r="I126" s="1">
        <v>12</v>
      </c>
      <c r="J126" s="4">
        <f t="shared" si="15"/>
        <v>0.63157894736842102</v>
      </c>
      <c r="K126" s="1" t="s">
        <v>164</v>
      </c>
    </row>
    <row r="127" spans="1:11" x14ac:dyDescent="0.3">
      <c r="A127" s="1" t="s">
        <v>113</v>
      </c>
      <c r="B127" s="1" t="s">
        <v>114</v>
      </c>
      <c r="C127" s="1">
        <v>10.56</v>
      </c>
      <c r="D127" s="5">
        <v>0.19600000000000001</v>
      </c>
      <c r="E127" s="5">
        <f t="shared" si="12"/>
        <v>0.64480000000000004</v>
      </c>
      <c r="F127" s="5">
        <f t="shared" si="13"/>
        <v>0.60476190476190483</v>
      </c>
      <c r="G127" s="5">
        <f t="shared" si="14"/>
        <v>0.62478095238095244</v>
      </c>
      <c r="H127" s="1">
        <v>57</v>
      </c>
      <c r="I127" s="1">
        <v>20</v>
      </c>
      <c r="J127" s="4">
        <f t="shared" si="15"/>
        <v>0.35087719298245612</v>
      </c>
      <c r="K127" s="1" t="s">
        <v>163</v>
      </c>
    </row>
    <row r="128" spans="1:11" x14ac:dyDescent="0.3">
      <c r="A128" s="1" t="s">
        <v>27</v>
      </c>
      <c r="B128" s="1" t="s">
        <v>7</v>
      </c>
      <c r="C128" s="1">
        <v>9.5</v>
      </c>
      <c r="D128" s="5">
        <v>0.155</v>
      </c>
      <c r="E128" s="5">
        <f t="shared" si="12"/>
        <v>0.56000000000000005</v>
      </c>
      <c r="F128" s="5">
        <f t="shared" si="13"/>
        <v>0.8</v>
      </c>
      <c r="G128" s="5">
        <f t="shared" si="14"/>
        <v>0.68</v>
      </c>
      <c r="H128" s="1">
        <v>17</v>
      </c>
      <c r="I128" s="1">
        <v>5</v>
      </c>
      <c r="J128" s="4">
        <f t="shared" si="15"/>
        <v>0.29411764705882354</v>
      </c>
      <c r="K128" s="1" t="s">
        <v>154</v>
      </c>
    </row>
    <row r="129" spans="1:11" x14ac:dyDescent="0.3">
      <c r="A129" s="1" t="s">
        <v>33</v>
      </c>
      <c r="B129" s="1" t="s">
        <v>23</v>
      </c>
      <c r="C129" s="1">
        <v>7.5</v>
      </c>
      <c r="D129" s="5">
        <v>0.113</v>
      </c>
      <c r="E129" s="5">
        <f t="shared" si="12"/>
        <v>0.4</v>
      </c>
      <c r="F129" s="5">
        <f t="shared" si="13"/>
        <v>1</v>
      </c>
      <c r="G129" s="5">
        <f t="shared" si="14"/>
        <v>0.7</v>
      </c>
      <c r="H129" s="1">
        <v>25</v>
      </c>
      <c r="I129" s="1">
        <v>13</v>
      </c>
      <c r="J129" s="4">
        <f t="shared" si="15"/>
        <v>0.52</v>
      </c>
      <c r="K129" s="1" t="s">
        <v>156</v>
      </c>
    </row>
    <row r="130" spans="1:11" x14ac:dyDescent="0.3">
      <c r="A130" s="1" t="s">
        <v>6</v>
      </c>
      <c r="B130" s="1" t="s">
        <v>50</v>
      </c>
      <c r="C130" s="1">
        <v>13.21</v>
      </c>
      <c r="D130" s="5">
        <v>0.17299999999999999</v>
      </c>
      <c r="E130" s="5">
        <f t="shared" si="12"/>
        <v>0.85680000000000012</v>
      </c>
      <c r="F130" s="5">
        <f t="shared" si="13"/>
        <v>0.71428571428571441</v>
      </c>
      <c r="G130" s="5">
        <f t="shared" ref="G130:G161" si="16">0.5 *E130+0.5*F130</f>
        <v>0.78554285714285732</v>
      </c>
      <c r="H130" s="1">
        <v>18</v>
      </c>
      <c r="I130" s="1">
        <v>11</v>
      </c>
      <c r="J130" s="4">
        <f t="shared" ref="J130:J161" si="17">I130/H130</f>
        <v>0.61111111111111116</v>
      </c>
      <c r="K130" s="1" t="s">
        <v>158</v>
      </c>
    </row>
    <row r="131" spans="1:11" x14ac:dyDescent="0.3">
      <c r="A131" s="1" t="s">
        <v>133</v>
      </c>
      <c r="B131" s="1" t="s">
        <v>134</v>
      </c>
      <c r="C131" s="1">
        <v>15</v>
      </c>
      <c r="D131" s="5">
        <v>0.17799999999999999</v>
      </c>
      <c r="E131" s="5">
        <f t="shared" si="12"/>
        <v>1</v>
      </c>
      <c r="F131" s="5">
        <f t="shared" si="13"/>
        <v>0.69047619047619058</v>
      </c>
      <c r="G131" s="5">
        <f t="shared" si="16"/>
        <v>0.84523809523809534</v>
      </c>
      <c r="H131" s="1">
        <v>78</v>
      </c>
      <c r="I131" s="1">
        <v>44</v>
      </c>
      <c r="J131" s="4">
        <f t="shared" si="17"/>
        <v>0.5641025641025641</v>
      </c>
      <c r="K131" s="1" t="s">
        <v>163</v>
      </c>
    </row>
    <row r="132" spans="1:11" x14ac:dyDescent="0.3">
      <c r="A132" s="1" t="s">
        <v>18</v>
      </c>
      <c r="B132" s="1" t="s">
        <v>106</v>
      </c>
      <c r="C132" s="1">
        <v>13.5</v>
      </c>
      <c r="D132" s="5">
        <v>0.151</v>
      </c>
      <c r="E132" s="5">
        <f t="shared" si="12"/>
        <v>0.88</v>
      </c>
      <c r="F132" s="5">
        <f t="shared" si="13"/>
        <v>0.81904761904761914</v>
      </c>
      <c r="G132" s="5">
        <f t="shared" si="16"/>
        <v>0.84952380952380957</v>
      </c>
      <c r="H132" s="1">
        <v>14</v>
      </c>
      <c r="I132" s="1">
        <v>6</v>
      </c>
      <c r="J132" s="4">
        <f t="shared" si="17"/>
        <v>0.42857142857142855</v>
      </c>
      <c r="K132" s="10" t="s">
        <v>151</v>
      </c>
    </row>
  </sheetData>
  <sortState xmlns:xlrd2="http://schemas.microsoft.com/office/spreadsheetml/2017/richdata2" ref="A2:K132">
    <sortCondition ref="G7:G132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by sequence</vt:lpstr>
      <vt:lpstr>civ_course_results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Savanna Leung</cp:lastModifiedBy>
  <dcterms:created xsi:type="dcterms:W3CDTF">2025-03-31T18:52:34Z</dcterms:created>
  <dcterms:modified xsi:type="dcterms:W3CDTF">2025-03-31T19:27:40Z</dcterms:modified>
</cp:coreProperties>
</file>
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1_{593ECBFB-C53E-3141-905B-EE3430964108}" xr6:coauthVersionLast="47" xr6:coauthVersionMax="47" xr10:uidLastSave="{00000000-0000-0000-0000-000000000000}"/>
  <bookViews>
    <workbookView xWindow="680" yWindow="740" windowWidth="25840" windowHeight="16740" xr2:uid="{4B239BDC-B2DB-E34A-BC6B-483D9309A874}"/>
  </bookViews>
  <sheets>
    <sheet name="Sheet2" sheetId="3" r:id="rId1"/>
    <sheet name="physc_course_results" sheetId="1" r:id="rId2"/>
  </sheets>
  <calcPr calcId="19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1" l="1"/>
  <c r="F24" i="1"/>
  <c r="J24" i="1"/>
  <c r="J4" i="1"/>
  <c r="J11" i="1"/>
  <c r="J3" i="1"/>
  <c r="J23" i="1"/>
  <c r="J29" i="1"/>
  <c r="J13" i="1"/>
  <c r="J22" i="1"/>
  <c r="J31" i="1"/>
  <c r="J27" i="1"/>
  <c r="J25" i="1"/>
  <c r="J8" i="1"/>
  <c r="J20" i="1"/>
  <c r="J15" i="1"/>
  <c r="J34" i="1"/>
  <c r="J9" i="1"/>
  <c r="J10" i="1"/>
  <c r="J5" i="1"/>
  <c r="J18" i="1"/>
  <c r="J7" i="1"/>
  <c r="J35" i="1"/>
  <c r="J17" i="1"/>
  <c r="J12" i="1"/>
  <c r="J2" i="1"/>
  <c r="J16" i="1"/>
  <c r="J14" i="1"/>
  <c r="J33" i="1"/>
  <c r="J36" i="1"/>
  <c r="J28" i="1"/>
  <c r="J30" i="1"/>
  <c r="J21" i="1"/>
  <c r="J6" i="1"/>
  <c r="J19" i="1"/>
  <c r="J26" i="1"/>
  <c r="J32" i="1"/>
  <c r="F26" i="1"/>
  <c r="F36" i="1"/>
  <c r="F28" i="1"/>
  <c r="F30" i="1"/>
  <c r="F21" i="1"/>
  <c r="F6" i="1"/>
  <c r="F19" i="1"/>
  <c r="F4" i="1"/>
  <c r="F11" i="1"/>
  <c r="F3" i="1"/>
  <c r="F23" i="1"/>
  <c r="F29" i="1"/>
  <c r="F13" i="1"/>
  <c r="F22" i="1"/>
  <c r="F31" i="1"/>
  <c r="F27" i="1"/>
  <c r="F25" i="1"/>
  <c r="F8" i="1"/>
  <c r="F20" i="1"/>
  <c r="F15" i="1"/>
  <c r="F34" i="1"/>
  <c r="F9" i="1"/>
  <c r="F10" i="1"/>
  <c r="F5" i="1"/>
  <c r="F18" i="1"/>
  <c r="F7" i="1"/>
  <c r="F35" i="1"/>
  <c r="F17" i="1"/>
  <c r="F12" i="1"/>
  <c r="F2" i="1"/>
  <c r="F16" i="1"/>
  <c r="F14" i="1"/>
  <c r="F33" i="1"/>
  <c r="F32" i="1"/>
  <c r="E6" i="1"/>
  <c r="E19" i="1"/>
  <c r="E26" i="1"/>
  <c r="E10" i="1"/>
  <c r="G10" i="1" s="1"/>
  <c r="E5" i="1"/>
  <c r="G5" i="1" s="1"/>
  <c r="E18" i="1"/>
  <c r="G18" i="1" s="1"/>
  <c r="E7" i="1"/>
  <c r="G7" i="1" s="1"/>
  <c r="E35" i="1"/>
  <c r="G35" i="1" s="1"/>
  <c r="E17" i="1"/>
  <c r="G17" i="1" s="1"/>
  <c r="E12" i="1"/>
  <c r="G12" i="1" s="1"/>
  <c r="E2" i="1"/>
  <c r="G2" i="1" s="1"/>
  <c r="E16" i="1"/>
  <c r="G16" i="1" s="1"/>
  <c r="E14" i="1"/>
  <c r="G14" i="1" s="1"/>
  <c r="E33" i="1"/>
  <c r="G33" i="1" s="1"/>
  <c r="E36" i="1"/>
  <c r="E28" i="1"/>
  <c r="G28" i="1" s="1"/>
  <c r="E30" i="1"/>
  <c r="G30" i="1" s="1"/>
  <c r="E21" i="1"/>
  <c r="G21" i="1" s="1"/>
  <c r="E4" i="1"/>
  <c r="E11" i="1"/>
  <c r="E3" i="1"/>
  <c r="G3" i="1" s="1"/>
  <c r="E23" i="1"/>
  <c r="E29" i="1"/>
  <c r="E13" i="1"/>
  <c r="E22" i="1"/>
  <c r="E31" i="1"/>
  <c r="E27" i="1"/>
  <c r="E25" i="1"/>
  <c r="E8" i="1"/>
  <c r="G8" i="1" s="1"/>
  <c r="E20" i="1"/>
  <c r="E15" i="1"/>
  <c r="E34" i="1"/>
  <c r="E9" i="1"/>
  <c r="E32" i="1"/>
  <c r="G32" i="1" s="1"/>
  <c r="G29" i="1" l="1"/>
  <c r="G4" i="1"/>
  <c r="G27" i="1"/>
  <c r="G19" i="1"/>
  <c r="G13" i="1"/>
  <c r="G15" i="1"/>
  <c r="G20" i="1"/>
  <c r="G23" i="1"/>
  <c r="G24" i="1"/>
  <c r="G11" i="1"/>
  <c r="G26" i="1"/>
  <c r="G9" i="1"/>
  <c r="G34" i="1"/>
  <c r="G22" i="1"/>
  <c r="G6" i="1"/>
  <c r="G31" i="1"/>
  <c r="G36" i="1"/>
  <c r="G25" i="1"/>
</calcChain>
</file>

<file path=xl/sharedStrings.xml><?xml version="1.0" encoding="utf-8"?>
<sst xmlns="http://schemas.openxmlformats.org/spreadsheetml/2006/main" count="106" uniqueCount="63">
  <si>
    <t>Course Code</t>
  </si>
  <si>
    <t>Instructor</t>
  </si>
  <si>
    <t>Enrolled</t>
  </si>
  <si>
    <t>Responses</t>
  </si>
  <si>
    <t>Avg Hours</t>
  </si>
  <si>
    <t>Sentiment Score</t>
  </si>
  <si>
    <t>ASTR 12620</t>
  </si>
  <si>
    <t>(s)  Wendy Freedman</t>
  </si>
  <si>
    <t>PHSC 13410</t>
  </si>
  <si>
    <t>(s)  David Cerny, Dorian Abbot,</t>
  </si>
  <si>
    <t>ASTR 18200</t>
  </si>
  <si>
    <t>(s) Edward W Kolb</t>
  </si>
  <si>
    <t>PHSC 13400</t>
  </si>
  <si>
    <t>(s) Douglas R Macayeal</t>
  </si>
  <si>
    <t>(s)  Alice Turnham, Dorian Abbot</t>
  </si>
  <si>
    <t>ASTR 12610</t>
  </si>
  <si>
    <t>(s)</t>
  </si>
  <si>
    <t>ASTR 12720</t>
  </si>
  <si>
    <t>(s)  Dorian Abbot, HsingHung</t>
  </si>
  <si>
    <t>CHEM 12400</t>
  </si>
  <si>
    <t>(s) Bozhi Tian</t>
  </si>
  <si>
    <t>PHSC 10800</t>
  </si>
  <si>
    <t>(s) Fred Ciesla</t>
  </si>
  <si>
    <t>ASTR 12600</t>
  </si>
  <si>
    <t>(s) Paolo Privitera</t>
  </si>
  <si>
    <t>PHSC 11600</t>
  </si>
  <si>
    <t>(s) Savan Kharel</t>
  </si>
  <si>
    <t>(s)  Dorian Abbot, Sifang Chen,</t>
  </si>
  <si>
    <t>(s)  Dorian Abbot, Huanzhou</t>
  </si>
  <si>
    <t>(s)  Daniel Holz</t>
  </si>
  <si>
    <t>CHEM 12900</t>
  </si>
  <si>
    <t>(s) Hannah Lant</t>
  </si>
  <si>
    <t>(s)  Debarun Mukherjee, Dorian</t>
  </si>
  <si>
    <t>PHSC 11700</t>
  </si>
  <si>
    <t>(s)  Branson ScottStarr, Dorian</t>
  </si>
  <si>
    <t>ASTR 12710</t>
  </si>
  <si>
    <t>PHSC 11800</t>
  </si>
  <si>
    <t>(s)  Heinrich M</t>
  </si>
  <si>
    <t>GEOS 25600</t>
  </si>
  <si>
    <t>(s)  Dorian Abbot</t>
  </si>
  <si>
    <t>(s)  Chao Zhang, Dorian Abbot,</t>
  </si>
  <si>
    <t>(s)  Bowen Fan, David Cerny,</t>
  </si>
  <si>
    <t>PHSC 11000</t>
  </si>
  <si>
    <t>(s)  Mark Webster</t>
  </si>
  <si>
    <t>PHSC 13600</t>
  </si>
  <si>
    <t>(s) Noboru</t>
  </si>
  <si>
    <t>PHSC 10100</t>
  </si>
  <si>
    <t>(s) Andrew Davis</t>
  </si>
  <si>
    <t>CHEM 12600</t>
  </si>
  <si>
    <t>(s)  Shaunna McLeod</t>
  </si>
  <si>
    <t>(s)  Amanda Doyle, Dorian Abbot</t>
  </si>
  <si>
    <t>(s)  Bowen Fan, Chao Zhang,</t>
  </si>
  <si>
    <t>ASTR 12700</t>
  </si>
  <si>
    <t>Normalised Hours</t>
  </si>
  <si>
    <t>Inverted Sentiment</t>
  </si>
  <si>
    <t>Response Rate</t>
  </si>
  <si>
    <t>Final Difficulty Score</t>
  </si>
  <si>
    <t>Row Labels</t>
  </si>
  <si>
    <t>Grand Total</t>
  </si>
  <si>
    <t>Average of Avg Hours</t>
  </si>
  <si>
    <t>Average of Sentiment Score</t>
  </si>
  <si>
    <t>Average of Response Rate</t>
  </si>
  <si>
    <t>Average of Final Difficulty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</si>
</sst>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FF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/>
    <xf numFmtId="0" fontId="19" fillId="0" borderId="0" xfId="0" applyFont="1"/>
    <xf numFmtId="164" fontId="18" fillId="0" borderId="0" xfId="0" applyNumberFormat="1" applyFont="1"/>
    <xf numFmtId="9" fontId="18" fillId="0" borderId="0" xfId="1" applyFont="1"/>
    <xf numFmtId="0" fontId="0" fillId="0" borderId="0" xfId="0" pivotButton="1"/>
    <xf numFmtId="164" fontId="0" fillId="0" borderId="0" xfId="0" applyNumberFormat="1"/>
    <xf numFmtId="9" fontId="0" fillId="0" borderId="0" xfId="0" applyNumberFormat="1"/>
    <xf numFmtId="0" fontId="0" fillId="0" borderId="0" xfId="0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3.704082870368" createdVersion="8" refreshedVersion="8" minRefreshableVersion="3" recordCount="35" xr:uid="{E1560168-6C1C-B946-B8E4-21450035C687}">
  <cacheSource type="worksheet">
    <worksheetSource ref="A1:J36" sheet="physc_course_results"/>
  </cacheSource>
  <cacheFields count="10">
    <cacheField name="Course Code" numFmtId="0">
      <sharedItems count="20">
        <s v="PHSC 13410"/>
        <s v="PHSC 13400"/>
        <s v="ASTR 12620"/>
        <s v="CHEM 12900"/>
        <s v="ASTR 18200"/>
        <s v="GEOS 25600"/>
        <s v="ASTR 12720"/>
        <s v="PHSC 11800"/>
        <s v="PHSC 11700"/>
        <s v="PHSC 11600"/>
        <s v="ASTR 12600"/>
        <s v="ASTR 12700"/>
        <s v="PHSC 10800"/>
        <s v="PHSC 10100"/>
        <s v="ASTR 12610"/>
        <s v="CHEM 12600"/>
        <s v="CHEM 12400"/>
        <s v="PHSC 11000"/>
        <s v="ASTR 12710"/>
        <s v="PHSC 13600"/>
      </sharedItems>
    </cacheField>
    <cacheField name="Instructor" numFmtId="0">
      <sharedItems/>
    </cacheField>
    <cacheField name="Avg Hours" numFmtId="164">
      <sharedItems containsSemiMixedTypes="0" containsString="0" containsNumber="1" minValue="2.5" maxValue="8.2100000000000009"/>
    </cacheField>
    <cacheField name="Sentiment Score" numFmtId="164">
      <sharedItems containsSemiMixedTypes="0" containsString="0" containsNumber="1" minValue="9.7000000000000003E-2" maxValue="0.28799999999999998"/>
    </cacheField>
    <cacheField name="Normalised Hours" numFmtId="164">
      <sharedItems containsSemiMixedTypes="0" containsString="0" containsNumber="1" minValue="0" maxValue="1"/>
    </cacheField>
    <cacheField name="Inverted Sentiment" numFmtId="164">
      <sharedItems containsSemiMixedTypes="0" containsString="0" containsNumber="1" minValue="0" maxValue="1"/>
    </cacheField>
    <cacheField name="Final Difficulty Score" numFmtId="164">
      <sharedItems containsSemiMixedTypes="0" containsString="0" containsNumber="1" minValue="7.2679509632224165E-2" maxValue="0.9284162074435407"/>
    </cacheField>
    <cacheField name="Enrolled" numFmtId="164">
      <sharedItems containsSemiMixedTypes="0" containsString="0" containsNumber="1" containsInteger="1" minValue="11" maxValue="276"/>
    </cacheField>
    <cacheField name="Responses" numFmtId="164">
      <sharedItems containsSemiMixedTypes="0" containsString="0" containsNumber="1" containsInteger="1" minValue="8" maxValue="120"/>
    </cacheField>
    <cacheField name="Response Rate" numFmtId="9">
      <sharedItems containsSemiMixedTypes="0" containsString="0" containsNumber="1" minValue="0.26666666666666666" maxValue="0.727272727272727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(s)  Debarun Mukherjee, Dorian"/>
    <n v="3.33"/>
    <n v="0.28799999999999998"/>
    <n v="0.14535901926444833"/>
    <n v="0"/>
    <n v="7.2679509632224165E-2"/>
    <n v="30"/>
    <n v="17"/>
    <n v="0.56666666666666665"/>
  </r>
  <r>
    <x v="1"/>
    <s v="(s) Douglas R Macayeal"/>
    <n v="3.12"/>
    <n v="0.26600000000000001"/>
    <n v="0.10858143607705779"/>
    <n v="0.11518324607329822"/>
    <n v="0.111882341075178"/>
    <n v="103"/>
    <n v="45"/>
    <n v="0.43689320388349512"/>
  </r>
  <r>
    <x v="0"/>
    <s v="(s)  David Cerny, Dorian Abbot,"/>
    <n v="3"/>
    <n v="0.24099999999999999"/>
    <n v="8.7565674255691756E-2"/>
    <n v="0.24607329842931935"/>
    <n v="0.16681948634250554"/>
    <n v="30"/>
    <n v="12"/>
    <n v="0.4"/>
  </r>
  <r>
    <x v="0"/>
    <s v="(s)  Debarun Mukherjee, Dorian"/>
    <n v="2.5"/>
    <n v="0.216"/>
    <n v="0"/>
    <n v="0.37696335078534027"/>
    <n v="0.18848167539267013"/>
    <n v="31"/>
    <n v="10"/>
    <n v="0.32258064516129031"/>
  </r>
  <r>
    <x v="0"/>
    <s v="(s)  Branson ScottStarr, Dorian"/>
    <n v="3.75"/>
    <n v="0.255"/>
    <n v="0.2189141856392294"/>
    <n v="0.17277486910994755"/>
    <n v="0.19584452737458846"/>
    <n v="31"/>
    <n v="14"/>
    <n v="0.45161290322580644"/>
  </r>
  <r>
    <x v="0"/>
    <s v="(s)  Branson ScottStarr, Dorian"/>
    <n v="2.5"/>
    <n v="0.21199999999999999"/>
    <n v="0"/>
    <n v="0.39790575916230364"/>
    <n v="0.19895287958115182"/>
    <n v="30"/>
    <n v="12"/>
    <n v="0.4"/>
  </r>
  <r>
    <x v="1"/>
    <s v="(s) Douglas R Macayeal"/>
    <n v="3.99"/>
    <n v="0.25"/>
    <n v="0.26094570928196148"/>
    <n v="0.19895287958115171"/>
    <n v="0.22994929443155659"/>
    <n v="101"/>
    <n v="49"/>
    <n v="0.48514851485148514"/>
  </r>
  <r>
    <x v="2"/>
    <s v="(s)"/>
    <n v="4.72"/>
    <n v="0.26700000000000002"/>
    <n v="0.38879159369527133"/>
    <n v="0.10994764397905743"/>
    <n v="0.24936961883716438"/>
    <n v="47"/>
    <n v="20"/>
    <n v="0.42553191489361702"/>
  </r>
  <r>
    <x v="3"/>
    <s v="(s) Hannah Lant"/>
    <n v="4.05"/>
    <n v="0.24099999999999999"/>
    <n v="0.27145359019264442"/>
    <n v="0.24607329842931935"/>
    <n v="0.25876344431098186"/>
    <n v="58"/>
    <n v="31"/>
    <n v="0.53448275862068961"/>
  </r>
  <r>
    <x v="4"/>
    <s v="(s) Edward W Kolb"/>
    <n v="4.5599999999999996"/>
    <n v="0.25700000000000001"/>
    <n v="0.36077057793344997"/>
    <n v="0.16230366492146586"/>
    <n v="0.26153712142745789"/>
    <n v="27"/>
    <n v="17"/>
    <n v="0.62962962962962965"/>
  </r>
  <r>
    <x v="5"/>
    <s v="(s)  Dorian Abbot"/>
    <n v="3.15"/>
    <n v="0.19900000000000001"/>
    <n v="0.11383537653239927"/>
    <n v="0.46596858638743444"/>
    <n v="0.28990198145991686"/>
    <n v="59"/>
    <n v="25"/>
    <n v="0.42372881355932202"/>
  </r>
  <r>
    <x v="6"/>
    <s v="(s)"/>
    <n v="3.89"/>
    <n v="0.222"/>
    <n v="0.24343257443082311"/>
    <n v="0.34554973821989521"/>
    <n v="0.29449115632535916"/>
    <n v="42"/>
    <n v="22"/>
    <n v="0.52380952380952384"/>
  </r>
  <r>
    <x v="0"/>
    <s v="(s)  Bowen Fan, David Cerny,"/>
    <n v="2.5"/>
    <n v="0.17"/>
    <n v="0"/>
    <n v="0.61780104712041872"/>
    <n v="0.30890052356020936"/>
    <n v="30"/>
    <n v="8"/>
    <n v="0.26666666666666666"/>
  </r>
  <r>
    <x v="0"/>
    <s v="(s)  Dorian Abbot, Huanzhou"/>
    <n v="3.33"/>
    <n v="0.19400000000000001"/>
    <n v="0.14535901926444833"/>
    <n v="0.49214659685863871"/>
    <n v="0.31875280806154349"/>
    <n v="30"/>
    <n v="12"/>
    <n v="0.4"/>
  </r>
  <r>
    <x v="0"/>
    <s v="(s)  Chao Zhang, Dorian Abbot,"/>
    <n v="3.12"/>
    <n v="0.17599999999999999"/>
    <n v="0.10858143607705779"/>
    <n v="0.58638743455497377"/>
    <n v="0.34748443531601581"/>
    <n v="31"/>
    <n v="11"/>
    <n v="0.35483870967741937"/>
  </r>
  <r>
    <x v="7"/>
    <s v="(s)  Heinrich M"/>
    <n v="3.68"/>
    <n v="0.19"/>
    <n v="0.20665499124343256"/>
    <n v="0.51308900523560208"/>
    <n v="0.35987199823951732"/>
    <n v="48"/>
    <n v="20"/>
    <n v="0.41666666666666669"/>
  </r>
  <r>
    <x v="8"/>
    <s v="(s) Savan Kharel"/>
    <n v="4.5199999999999996"/>
    <n v="0.21299999999999999"/>
    <n v="0.3537653239929946"/>
    <n v="0.39267015706806274"/>
    <n v="0.3732177405305287"/>
    <n v="91"/>
    <n v="52"/>
    <n v="0.5714285714285714"/>
  </r>
  <r>
    <x v="0"/>
    <s v="(s)  Bowen Fan, Chao Zhang,"/>
    <n v="3.5"/>
    <n v="0.16400000000000001"/>
    <n v="0.17513134851138351"/>
    <n v="0.64921465968586378"/>
    <n v="0.41217300409862367"/>
    <n v="30"/>
    <n v="11"/>
    <n v="0.36666666666666664"/>
  </r>
  <r>
    <x v="9"/>
    <s v="(s) Savan Kharel"/>
    <n v="5.23"/>
    <n v="0.216"/>
    <n v="0.47810858143607704"/>
    <n v="0.37696335078534027"/>
    <n v="0.42753596611070865"/>
    <n v="87"/>
    <n v="49"/>
    <n v="0.56321839080459768"/>
  </r>
  <r>
    <x v="0"/>
    <s v="(s)  Amanda Doyle, Dorian Abbot"/>
    <n v="4.38"/>
    <n v="0.184"/>
    <n v="0.32924693520140097"/>
    <n v="0.54450261780104703"/>
    <n v="0.43687477650122397"/>
    <n v="31"/>
    <n v="10"/>
    <n v="0.32258064516129031"/>
  </r>
  <r>
    <x v="0"/>
    <s v="(s)  Dorian Abbot, HsingHung"/>
    <n v="3.5"/>
    <n v="0.152"/>
    <n v="0.17513134851138351"/>
    <n v="0.7120418848167539"/>
    <n v="0.44358661666406873"/>
    <n v="33"/>
    <n v="12"/>
    <n v="0.36363636363636365"/>
  </r>
  <r>
    <x v="0"/>
    <s v="(s)  Alice Turnham, Dorian Abbot"/>
    <n v="4.38"/>
    <n v="0.17299999999999999"/>
    <n v="0.32924693520140097"/>
    <n v="0.60209424083769636"/>
    <n v="0.46567058801954864"/>
    <n v="31"/>
    <n v="12"/>
    <n v="0.38709677419354838"/>
  </r>
  <r>
    <x v="0"/>
    <s v="(s)  Dorian Abbot, Sifang Chen,"/>
    <n v="2.5"/>
    <n v="9.7000000000000003E-2"/>
    <n v="0"/>
    <n v="1"/>
    <n v="0.5"/>
    <n v="30"/>
    <n v="10"/>
    <n v="0.33333333333333331"/>
  </r>
  <r>
    <x v="10"/>
    <s v="(s) Paolo Privitera"/>
    <n v="5.94"/>
    <n v="0.20699999999999999"/>
    <n v="0.60245183887915932"/>
    <n v="0.4240837696335078"/>
    <n v="0.51326780425633356"/>
    <n v="126"/>
    <n v="56"/>
    <n v="0.44444444444444442"/>
  </r>
  <r>
    <x v="11"/>
    <s v="(s)"/>
    <n v="6.18"/>
    <n v="0.215"/>
    <n v="0.64448336252189131"/>
    <n v="0.38219895287958106"/>
    <n v="0.51334115770073618"/>
    <n v="89"/>
    <n v="41"/>
    <n v="0.4606741573033708"/>
  </r>
  <r>
    <x v="12"/>
    <s v="(s) Fred Ciesla"/>
    <n v="5.83"/>
    <n v="0.19600000000000001"/>
    <n v="0.58318739054290714"/>
    <n v="0.48167539267015702"/>
    <n v="0.53243139160653208"/>
    <n v="276"/>
    <n v="120"/>
    <n v="0.43478260869565216"/>
  </r>
  <r>
    <x v="13"/>
    <s v="(s) Andrew Davis"/>
    <n v="4.5199999999999996"/>
    <n v="0.152"/>
    <n v="0.3537653239929946"/>
    <n v="0.7120418848167539"/>
    <n v="0.53290360440487428"/>
    <n v="103"/>
    <n v="49"/>
    <n v="0.47572815533980584"/>
  </r>
  <r>
    <x v="14"/>
    <s v="(s)"/>
    <n v="6.14"/>
    <n v="0.20399999999999999"/>
    <n v="0.63747810858143594"/>
    <n v="0.43979057591623039"/>
    <n v="0.53863434224883311"/>
    <n v="54"/>
    <n v="23"/>
    <n v="0.42592592592592593"/>
  </r>
  <r>
    <x v="15"/>
    <s v="(s)  Shaunna McLeod"/>
    <n v="6.41"/>
    <n v="0.21199999999999999"/>
    <n v="0.6847635726795096"/>
    <n v="0.39790575916230364"/>
    <n v="0.54133466592090662"/>
    <n v="58"/>
    <n v="24"/>
    <n v="0.41379310344827586"/>
  </r>
  <r>
    <x v="16"/>
    <s v="(s) Bozhi Tian"/>
    <n v="6.2"/>
    <n v="0.192"/>
    <n v="0.64798598949211905"/>
    <n v="0.50261780104712028"/>
    <n v="0.57530189526961961"/>
    <n v="48"/>
    <n v="24"/>
    <n v="0.5"/>
  </r>
  <r>
    <x v="2"/>
    <s v="(s)  Wendy Freedman"/>
    <n v="7.5"/>
    <n v="0.22900000000000001"/>
    <n v="0.87565674255691761"/>
    <n v="0.30890052356020925"/>
    <n v="0.59227863305856343"/>
    <n v="11"/>
    <n v="8"/>
    <n v="0.72727272727272729"/>
  </r>
  <r>
    <x v="17"/>
    <s v="(s)  Mark Webster"/>
    <n v="7.1"/>
    <n v="0.19600000000000001"/>
    <n v="0.80560420315236414"/>
    <n v="0.48167539267015702"/>
    <n v="0.64363979791126058"/>
    <n v="98"/>
    <n v="30"/>
    <n v="0.30612244897959184"/>
  </r>
  <r>
    <x v="14"/>
    <s v="(s)  Daniel Holz"/>
    <n v="8.2100000000000009"/>
    <n v="0.21099999999999999"/>
    <n v="1"/>
    <n v="0.40314136125654443"/>
    <n v="0.70157068062827221"/>
    <n v="11"/>
    <n v="8"/>
    <n v="0.72727272727272729"/>
  </r>
  <r>
    <x v="18"/>
    <s v="(s)"/>
    <n v="8.07"/>
    <n v="0.20100000000000001"/>
    <n v="0.97548161120840626"/>
    <n v="0.45549738219895275"/>
    <n v="0.71548949670367956"/>
    <n v="81"/>
    <n v="46"/>
    <n v="0.5679012345679012"/>
  </r>
  <r>
    <x v="19"/>
    <s v="(s) Noboru"/>
    <n v="8.11"/>
    <n v="0.121"/>
    <n v="0.98248686514886141"/>
    <n v="0.87434554973821987"/>
    <n v="0.9284162074435407"/>
    <n v="251"/>
    <n v="98"/>
    <n v="0.390438247011952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8873E7-DF74-1841-9E7B-CA163E94F983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24" firstHeaderRow="0" firstDataRow="1" firstDataCol="1"/>
  <pivotFields count="10">
    <pivotField axis="axisRow" showAll="0" sortType="ascending">
      <items count="21">
        <item x="10"/>
        <item x="14"/>
        <item x="2"/>
        <item x="11"/>
        <item x="18"/>
        <item x="6"/>
        <item x="4"/>
        <item x="16"/>
        <item x="15"/>
        <item x="3"/>
        <item x="5"/>
        <item x="13"/>
        <item x="12"/>
        <item x="17"/>
        <item x="9"/>
        <item x="8"/>
        <item x="7"/>
        <item x="1"/>
        <item x="0"/>
        <item x="19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4" showAll="0"/>
    <pivotField dataField="1"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dataField="1" numFmtId="9" showAll="0"/>
  </pivotFields>
  <rowFields count="1">
    <field x="0"/>
  </rowFields>
  <rowItems count="21">
    <i>
      <x v="17"/>
    </i>
    <i>
      <x v="9"/>
    </i>
    <i>
      <x v="6"/>
    </i>
    <i>
      <x v="10"/>
    </i>
    <i>
      <x v="5"/>
    </i>
    <i>
      <x v="18"/>
    </i>
    <i>
      <x v="16"/>
    </i>
    <i>
      <x v="15"/>
    </i>
    <i>
      <x v="2"/>
    </i>
    <i>
      <x v="14"/>
    </i>
    <i>
      <x/>
    </i>
    <i>
      <x v="3"/>
    </i>
    <i>
      <x v="12"/>
    </i>
    <i>
      <x v="11"/>
    </i>
    <i>
      <x v="8"/>
    </i>
    <i>
      <x v="7"/>
    </i>
    <i>
      <x v="1"/>
    </i>
    <i>
      <x v="13"/>
    </i>
    <i>
      <x v="4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vg Hours" fld="2" subtotal="average" baseField="0" baseItem="0" numFmtId="164"/>
    <dataField name="Average of Sentiment Score" fld="3" subtotal="average" baseField="0" baseItem="0" numFmtId="164"/>
    <dataField name="Average of Response Rate" fld="9" subtotal="average" baseField="0" baseItem="0" numFmtId="9"/>
    <dataField name="Average of Final Difficulty Score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CD332-63AB-394A-8D1A-1C24496D153A}">
  <dimension ref="A3:E24"/>
  <sheetViews>
    <sheetView tabSelected="1" topLeftCell="A3" zoomScale="135" workbookViewId="0">
      <selection activeCell="G10" sqref="G10"/>
    </sheetView>
  </sheetViews>
  <sheetFormatPr baseColWidth="10" defaultRowHeight="16" x14ac:dyDescent="0.2"/>
  <cols>
    <col min="1" max="1" width="13" bestFit="1" customWidth="1"/>
    <col min="2" max="2" width="18.6640625" bestFit="1" customWidth="1"/>
    <col min="3" max="3" width="24" bestFit="1" customWidth="1"/>
    <col min="4" max="4" width="22.83203125" bestFit="1" customWidth="1"/>
    <col min="5" max="5" width="27.6640625" bestFit="1" customWidth="1"/>
  </cols>
  <sheetData>
    <row r="3" spans="1:5" x14ac:dyDescent="0.2">
      <c r="A3" s="5" t="s">
        <v>57</v>
      </c>
      <c r="B3" t="s">
        <v>59</v>
      </c>
      <c r="C3" t="s">
        <v>60</v>
      </c>
      <c r="D3" t="s">
        <v>61</v>
      </c>
      <c r="E3" t="s">
        <v>62</v>
      </c>
    </row>
    <row r="4" spans="1:5" x14ac:dyDescent="0.2">
      <c r="A4" s="8" t="s">
        <v>12</v>
      </c>
      <c r="B4" s="6">
        <v>3.5550000000000002</v>
      </c>
      <c r="C4" s="6">
        <v>0.25800000000000001</v>
      </c>
      <c r="D4" s="7">
        <v>0.46102085936749015</v>
      </c>
      <c r="E4" s="6">
        <v>0.17091581775336728</v>
      </c>
    </row>
    <row r="5" spans="1:5" x14ac:dyDescent="0.2">
      <c r="A5" s="8" t="s">
        <v>30</v>
      </c>
      <c r="B5" s="6">
        <v>4.05</v>
      </c>
      <c r="C5" s="6">
        <v>0.24099999999999999</v>
      </c>
      <c r="D5" s="7">
        <v>0.53448275862068961</v>
      </c>
      <c r="E5" s="6">
        <v>0.25876344431098186</v>
      </c>
    </row>
    <row r="6" spans="1:5" x14ac:dyDescent="0.2">
      <c r="A6" s="8" t="s">
        <v>10</v>
      </c>
      <c r="B6" s="6">
        <v>4.5599999999999996</v>
      </c>
      <c r="C6" s="6">
        <v>0.25700000000000001</v>
      </c>
      <c r="D6" s="7">
        <v>0.62962962962962965</v>
      </c>
      <c r="E6" s="6">
        <v>0.26153712142745789</v>
      </c>
    </row>
    <row r="7" spans="1:5" x14ac:dyDescent="0.2">
      <c r="A7" s="8" t="s">
        <v>38</v>
      </c>
      <c r="B7" s="6">
        <v>3.15</v>
      </c>
      <c r="C7" s="6">
        <v>0.19900000000000001</v>
      </c>
      <c r="D7" s="7">
        <v>0.42372881355932202</v>
      </c>
      <c r="E7" s="6">
        <v>0.28990198145991686</v>
      </c>
    </row>
    <row r="8" spans="1:5" x14ac:dyDescent="0.2">
      <c r="A8" s="8" t="s">
        <v>17</v>
      </c>
      <c r="B8" s="6">
        <v>3.89</v>
      </c>
      <c r="C8" s="6">
        <v>0.222</v>
      </c>
      <c r="D8" s="7">
        <v>0.52380952380952384</v>
      </c>
      <c r="E8" s="6">
        <v>0.29449115632535916</v>
      </c>
    </row>
    <row r="9" spans="1:5" x14ac:dyDescent="0.2">
      <c r="A9" s="8" t="s">
        <v>8</v>
      </c>
      <c r="B9" s="6">
        <v>3.253076923076923</v>
      </c>
      <c r="C9" s="6">
        <v>0.19399999999999998</v>
      </c>
      <c r="D9" s="7">
        <v>0.37966764418377319</v>
      </c>
      <c r="E9" s="6">
        <v>0.31201698696495189</v>
      </c>
    </row>
    <row r="10" spans="1:5" x14ac:dyDescent="0.2">
      <c r="A10" s="8" t="s">
        <v>36</v>
      </c>
      <c r="B10" s="6">
        <v>3.68</v>
      </c>
      <c r="C10" s="6">
        <v>0.19</v>
      </c>
      <c r="D10" s="7">
        <v>0.41666666666666669</v>
      </c>
      <c r="E10" s="6">
        <v>0.35987199823951732</v>
      </c>
    </row>
    <row r="11" spans="1:5" x14ac:dyDescent="0.2">
      <c r="A11" s="8" t="s">
        <v>33</v>
      </c>
      <c r="B11" s="6">
        <v>4.5199999999999996</v>
      </c>
      <c r="C11" s="6">
        <v>0.21299999999999999</v>
      </c>
      <c r="D11" s="7">
        <v>0.5714285714285714</v>
      </c>
      <c r="E11" s="6">
        <v>0.3732177405305287</v>
      </c>
    </row>
    <row r="12" spans="1:5" x14ac:dyDescent="0.2">
      <c r="A12" s="8" t="s">
        <v>6</v>
      </c>
      <c r="B12" s="6">
        <v>6.1099999999999994</v>
      </c>
      <c r="C12" s="6">
        <v>0.248</v>
      </c>
      <c r="D12" s="7">
        <v>0.57640232108317213</v>
      </c>
      <c r="E12" s="6">
        <v>0.42082412594786389</v>
      </c>
    </row>
    <row r="13" spans="1:5" x14ac:dyDescent="0.2">
      <c r="A13" s="8" t="s">
        <v>25</v>
      </c>
      <c r="B13" s="6">
        <v>5.23</v>
      </c>
      <c r="C13" s="6">
        <v>0.216</v>
      </c>
      <c r="D13" s="7">
        <v>0.56321839080459768</v>
      </c>
      <c r="E13" s="6">
        <v>0.42753596611070865</v>
      </c>
    </row>
    <row r="14" spans="1:5" x14ac:dyDescent="0.2">
      <c r="A14" s="8" t="s">
        <v>23</v>
      </c>
      <c r="B14" s="6">
        <v>5.94</v>
      </c>
      <c r="C14" s="6">
        <v>0.20699999999999999</v>
      </c>
      <c r="D14" s="7">
        <v>0.44444444444444442</v>
      </c>
      <c r="E14" s="6">
        <v>0.51326780425633356</v>
      </c>
    </row>
    <row r="15" spans="1:5" x14ac:dyDescent="0.2">
      <c r="A15" s="8" t="s">
        <v>52</v>
      </c>
      <c r="B15" s="6">
        <v>6.18</v>
      </c>
      <c r="C15" s="6">
        <v>0.215</v>
      </c>
      <c r="D15" s="7">
        <v>0.4606741573033708</v>
      </c>
      <c r="E15" s="6">
        <v>0.51334115770073618</v>
      </c>
    </row>
    <row r="16" spans="1:5" x14ac:dyDescent="0.2">
      <c r="A16" s="8" t="s">
        <v>21</v>
      </c>
      <c r="B16" s="6">
        <v>5.83</v>
      </c>
      <c r="C16" s="6">
        <v>0.19600000000000001</v>
      </c>
      <c r="D16" s="7">
        <v>0.43478260869565216</v>
      </c>
      <c r="E16" s="6">
        <v>0.53243139160653208</v>
      </c>
    </row>
    <row r="17" spans="1:5" x14ac:dyDescent="0.2">
      <c r="A17" s="8" t="s">
        <v>46</v>
      </c>
      <c r="B17" s="6">
        <v>4.5199999999999996</v>
      </c>
      <c r="C17" s="6">
        <v>0.152</v>
      </c>
      <c r="D17" s="7">
        <v>0.47572815533980584</v>
      </c>
      <c r="E17" s="6">
        <v>0.53290360440487428</v>
      </c>
    </row>
    <row r="18" spans="1:5" x14ac:dyDescent="0.2">
      <c r="A18" s="8" t="s">
        <v>48</v>
      </c>
      <c r="B18" s="6">
        <v>6.41</v>
      </c>
      <c r="C18" s="6">
        <v>0.21199999999999999</v>
      </c>
      <c r="D18" s="7">
        <v>0.41379310344827586</v>
      </c>
      <c r="E18" s="6">
        <v>0.54133466592090662</v>
      </c>
    </row>
    <row r="19" spans="1:5" x14ac:dyDescent="0.2">
      <c r="A19" s="8" t="s">
        <v>19</v>
      </c>
      <c r="B19" s="6">
        <v>6.2</v>
      </c>
      <c r="C19" s="6">
        <v>0.192</v>
      </c>
      <c r="D19" s="7">
        <v>0.5</v>
      </c>
      <c r="E19" s="6">
        <v>0.57530189526961961</v>
      </c>
    </row>
    <row r="20" spans="1:5" x14ac:dyDescent="0.2">
      <c r="A20" s="8" t="s">
        <v>15</v>
      </c>
      <c r="B20" s="6">
        <v>7.1750000000000007</v>
      </c>
      <c r="C20" s="6">
        <v>0.20749999999999999</v>
      </c>
      <c r="D20" s="7">
        <v>0.57659932659932656</v>
      </c>
      <c r="E20" s="6">
        <v>0.62010251143855266</v>
      </c>
    </row>
    <row r="21" spans="1:5" x14ac:dyDescent="0.2">
      <c r="A21" s="8" t="s">
        <v>42</v>
      </c>
      <c r="B21" s="6">
        <v>7.1</v>
      </c>
      <c r="C21" s="6">
        <v>0.19600000000000001</v>
      </c>
      <c r="D21" s="7">
        <v>0.30612244897959184</v>
      </c>
      <c r="E21" s="6">
        <v>0.64363979791126058</v>
      </c>
    </row>
    <row r="22" spans="1:5" x14ac:dyDescent="0.2">
      <c r="A22" s="8" t="s">
        <v>35</v>
      </c>
      <c r="B22" s="6">
        <v>8.07</v>
      </c>
      <c r="C22" s="6">
        <v>0.20100000000000001</v>
      </c>
      <c r="D22" s="7">
        <v>0.5679012345679012</v>
      </c>
      <c r="E22" s="6">
        <v>0.71548949670367956</v>
      </c>
    </row>
    <row r="23" spans="1:5" x14ac:dyDescent="0.2">
      <c r="A23" s="8" t="s">
        <v>44</v>
      </c>
      <c r="B23" s="6">
        <v>8.11</v>
      </c>
      <c r="C23" s="6">
        <v>0.121</v>
      </c>
      <c r="D23" s="7">
        <v>0.39043824701195218</v>
      </c>
      <c r="E23" s="6">
        <v>0.9284162074435407</v>
      </c>
    </row>
    <row r="24" spans="1:5" x14ac:dyDescent="0.2">
      <c r="A24" s="8" t="s">
        <v>58</v>
      </c>
      <c r="B24" s="6">
        <v>4.6688571428571439</v>
      </c>
      <c r="C24" s="6">
        <v>0.20511428571428578</v>
      </c>
      <c r="D24" s="7">
        <v>0.45201637550854357</v>
      </c>
      <c r="E24" s="6">
        <v>0.40689574772702547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3F72-BB16-1D41-A408-EF26821AFDDC}">
  <dimension ref="A1:J37"/>
  <sheetViews>
    <sheetView zoomScale="75" workbookViewId="0">
      <selection activeCell="F11" sqref="F11"/>
    </sheetView>
  </sheetViews>
  <sheetFormatPr baseColWidth="10" defaultRowHeight="22" x14ac:dyDescent="0.3"/>
  <cols>
    <col min="1" max="1" width="24.5" style="1" customWidth="1"/>
    <col min="2" max="2" width="27" style="1" customWidth="1"/>
    <col min="3" max="3" width="27.33203125" style="1" customWidth="1"/>
    <col min="4" max="4" width="27.6640625" style="1" customWidth="1"/>
    <col min="5" max="6" width="42.6640625" style="1" customWidth="1"/>
    <col min="7" max="7" width="26.1640625" style="1" customWidth="1"/>
    <col min="8" max="8" width="21.6640625" style="1" customWidth="1"/>
    <col min="9" max="9" width="23.5" style="1" customWidth="1"/>
    <col min="10" max="10" width="24.6640625" style="1" customWidth="1"/>
    <col min="11" max="16384" width="10.83203125" style="1"/>
  </cols>
  <sheetData>
    <row r="1" spans="1:10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53</v>
      </c>
      <c r="F1" s="2" t="s">
        <v>54</v>
      </c>
      <c r="G1" s="2" t="s">
        <v>56</v>
      </c>
      <c r="H1" s="2" t="s">
        <v>2</v>
      </c>
      <c r="I1" s="2" t="s">
        <v>3</v>
      </c>
      <c r="J1" s="2" t="s">
        <v>55</v>
      </c>
    </row>
    <row r="2" spans="1:10" x14ac:dyDescent="0.3">
      <c r="A2" s="1" t="s">
        <v>8</v>
      </c>
      <c r="B2" s="1" t="s">
        <v>32</v>
      </c>
      <c r="C2" s="3">
        <v>3.33</v>
      </c>
      <c r="D2" s="3">
        <v>0.28799999999999998</v>
      </c>
      <c r="E2" s="3">
        <f t="shared" ref="E2:E36" si="0">(C2 - MIN(C:C)) / (MAX(C:C) - MIN(C:C))</f>
        <v>0.14535901926444833</v>
      </c>
      <c r="F2" s="3">
        <f t="shared" ref="F2:F36" si="1">1 - ((D2 - MIN(D:D)) / (MAX(D:D) - MIN(D:D)))</f>
        <v>0</v>
      </c>
      <c r="G2" s="3">
        <f t="shared" ref="G2:G36" si="2">0.5 *E2+0.5*F2</f>
        <v>7.2679509632224165E-2</v>
      </c>
      <c r="H2" s="3">
        <v>30</v>
      </c>
      <c r="I2" s="3">
        <v>17</v>
      </c>
      <c r="J2" s="4">
        <f t="shared" ref="J2:J36" si="3">I2/H2</f>
        <v>0.56666666666666665</v>
      </c>
    </row>
    <row r="3" spans="1:10" x14ac:dyDescent="0.3">
      <c r="A3" s="1" t="s">
        <v>12</v>
      </c>
      <c r="B3" s="1" t="s">
        <v>13</v>
      </c>
      <c r="C3" s="3">
        <v>3.12</v>
      </c>
      <c r="D3" s="3">
        <v>0.26600000000000001</v>
      </c>
      <c r="E3" s="3">
        <f t="shared" si="0"/>
        <v>0.10858143607705779</v>
      </c>
      <c r="F3" s="3">
        <f t="shared" si="1"/>
        <v>0.11518324607329822</v>
      </c>
      <c r="G3" s="3">
        <f t="shared" si="2"/>
        <v>0.111882341075178</v>
      </c>
      <c r="H3" s="3">
        <v>103</v>
      </c>
      <c r="I3" s="3">
        <v>45</v>
      </c>
      <c r="J3" s="4">
        <f t="shared" si="3"/>
        <v>0.43689320388349512</v>
      </c>
    </row>
    <row r="4" spans="1:10" x14ac:dyDescent="0.3">
      <c r="A4" s="1" t="s">
        <v>8</v>
      </c>
      <c r="B4" s="1" t="s">
        <v>9</v>
      </c>
      <c r="C4" s="3">
        <v>3</v>
      </c>
      <c r="D4" s="3">
        <v>0.24099999999999999</v>
      </c>
      <c r="E4" s="3">
        <f t="shared" si="0"/>
        <v>8.7565674255691756E-2</v>
      </c>
      <c r="F4" s="3">
        <f t="shared" si="1"/>
        <v>0.24607329842931935</v>
      </c>
      <c r="G4" s="3">
        <f t="shared" si="2"/>
        <v>0.16681948634250554</v>
      </c>
      <c r="H4" s="3">
        <v>30</v>
      </c>
      <c r="I4" s="3">
        <v>12</v>
      </c>
      <c r="J4" s="4">
        <f t="shared" si="3"/>
        <v>0.4</v>
      </c>
    </row>
    <row r="5" spans="1:10" x14ac:dyDescent="0.3">
      <c r="A5" s="1" t="s">
        <v>8</v>
      </c>
      <c r="B5" s="1" t="s">
        <v>32</v>
      </c>
      <c r="C5" s="3">
        <v>2.5</v>
      </c>
      <c r="D5" s="3">
        <v>0.216</v>
      </c>
      <c r="E5" s="3">
        <f t="shared" si="0"/>
        <v>0</v>
      </c>
      <c r="F5" s="3">
        <f t="shared" si="1"/>
        <v>0.37696335078534027</v>
      </c>
      <c r="G5" s="3">
        <f t="shared" si="2"/>
        <v>0.18848167539267013</v>
      </c>
      <c r="H5" s="3">
        <v>31</v>
      </c>
      <c r="I5" s="3">
        <v>10</v>
      </c>
      <c r="J5" s="4">
        <f t="shared" si="3"/>
        <v>0.32258064516129031</v>
      </c>
    </row>
    <row r="6" spans="1:10" x14ac:dyDescent="0.3">
      <c r="A6" s="1" t="s">
        <v>8</v>
      </c>
      <c r="B6" s="1" t="s">
        <v>34</v>
      </c>
      <c r="C6" s="3">
        <v>3.75</v>
      </c>
      <c r="D6" s="3">
        <v>0.255</v>
      </c>
      <c r="E6" s="3">
        <f t="shared" si="0"/>
        <v>0.2189141856392294</v>
      </c>
      <c r="F6" s="3">
        <f t="shared" si="1"/>
        <v>0.17277486910994755</v>
      </c>
      <c r="G6" s="3">
        <f t="shared" si="2"/>
        <v>0.19584452737458846</v>
      </c>
      <c r="H6" s="3">
        <v>31</v>
      </c>
      <c r="I6" s="3">
        <v>14</v>
      </c>
      <c r="J6" s="4">
        <f t="shared" si="3"/>
        <v>0.45161290322580644</v>
      </c>
    </row>
    <row r="7" spans="1:10" x14ac:dyDescent="0.3">
      <c r="A7" s="1" t="s">
        <v>8</v>
      </c>
      <c r="B7" s="1" t="s">
        <v>34</v>
      </c>
      <c r="C7" s="3">
        <v>2.5</v>
      </c>
      <c r="D7" s="3">
        <v>0.21199999999999999</v>
      </c>
      <c r="E7" s="3">
        <f t="shared" si="0"/>
        <v>0</v>
      </c>
      <c r="F7" s="3">
        <f t="shared" si="1"/>
        <v>0.39790575916230364</v>
      </c>
      <c r="G7" s="3">
        <f t="shared" si="2"/>
        <v>0.19895287958115182</v>
      </c>
      <c r="H7" s="3">
        <v>30</v>
      </c>
      <c r="I7" s="3">
        <v>12</v>
      </c>
      <c r="J7" s="4">
        <f t="shared" si="3"/>
        <v>0.4</v>
      </c>
    </row>
    <row r="8" spans="1:10" x14ac:dyDescent="0.3">
      <c r="A8" s="1" t="s">
        <v>12</v>
      </c>
      <c r="B8" s="1" t="s">
        <v>13</v>
      </c>
      <c r="C8" s="3">
        <v>3.99</v>
      </c>
      <c r="D8" s="3">
        <v>0.25</v>
      </c>
      <c r="E8" s="3">
        <f t="shared" si="0"/>
        <v>0.26094570928196148</v>
      </c>
      <c r="F8" s="3">
        <f t="shared" si="1"/>
        <v>0.19895287958115171</v>
      </c>
      <c r="G8" s="3">
        <f t="shared" si="2"/>
        <v>0.22994929443155659</v>
      </c>
      <c r="H8" s="3">
        <v>101</v>
      </c>
      <c r="I8" s="3">
        <v>49</v>
      </c>
      <c r="J8" s="4">
        <f t="shared" si="3"/>
        <v>0.48514851485148514</v>
      </c>
    </row>
    <row r="9" spans="1:10" x14ac:dyDescent="0.3">
      <c r="A9" s="1" t="s">
        <v>6</v>
      </c>
      <c r="B9" s="1" t="s">
        <v>16</v>
      </c>
      <c r="C9" s="3">
        <v>4.72</v>
      </c>
      <c r="D9" s="3">
        <v>0.26700000000000002</v>
      </c>
      <c r="E9" s="3">
        <f t="shared" si="0"/>
        <v>0.38879159369527133</v>
      </c>
      <c r="F9" s="3">
        <f t="shared" si="1"/>
        <v>0.10994764397905743</v>
      </c>
      <c r="G9" s="3">
        <f t="shared" si="2"/>
        <v>0.24936961883716438</v>
      </c>
      <c r="H9" s="3">
        <v>47</v>
      </c>
      <c r="I9" s="3">
        <v>20</v>
      </c>
      <c r="J9" s="4">
        <f t="shared" si="3"/>
        <v>0.42553191489361702</v>
      </c>
    </row>
    <row r="10" spans="1:10" x14ac:dyDescent="0.3">
      <c r="A10" s="1" t="s">
        <v>30</v>
      </c>
      <c r="B10" s="1" t="s">
        <v>31</v>
      </c>
      <c r="C10" s="3">
        <v>4.05</v>
      </c>
      <c r="D10" s="3">
        <v>0.24099999999999999</v>
      </c>
      <c r="E10" s="3">
        <f t="shared" si="0"/>
        <v>0.27145359019264442</v>
      </c>
      <c r="F10" s="3">
        <f t="shared" si="1"/>
        <v>0.24607329842931935</v>
      </c>
      <c r="G10" s="3">
        <f t="shared" si="2"/>
        <v>0.25876344431098186</v>
      </c>
      <c r="H10" s="3">
        <v>58</v>
      </c>
      <c r="I10" s="3">
        <v>31</v>
      </c>
      <c r="J10" s="4">
        <f t="shared" si="3"/>
        <v>0.53448275862068961</v>
      </c>
    </row>
    <row r="11" spans="1:10" x14ac:dyDescent="0.3">
      <c r="A11" s="1" t="s">
        <v>10</v>
      </c>
      <c r="B11" s="1" t="s">
        <v>11</v>
      </c>
      <c r="C11" s="3">
        <v>4.5599999999999996</v>
      </c>
      <c r="D11" s="3">
        <v>0.25700000000000001</v>
      </c>
      <c r="E11" s="3">
        <f t="shared" si="0"/>
        <v>0.36077057793344997</v>
      </c>
      <c r="F11" s="3">
        <f t="shared" si="1"/>
        <v>0.16230366492146586</v>
      </c>
      <c r="G11" s="3">
        <f t="shared" si="2"/>
        <v>0.26153712142745789</v>
      </c>
      <c r="H11" s="3">
        <v>27</v>
      </c>
      <c r="I11" s="3">
        <v>17</v>
      </c>
      <c r="J11" s="4">
        <f t="shared" si="3"/>
        <v>0.62962962962962965</v>
      </c>
    </row>
    <row r="12" spans="1:10" x14ac:dyDescent="0.3">
      <c r="A12" s="1" t="s">
        <v>38</v>
      </c>
      <c r="B12" s="1" t="s">
        <v>39</v>
      </c>
      <c r="C12" s="3">
        <v>3.15</v>
      </c>
      <c r="D12" s="3">
        <v>0.19900000000000001</v>
      </c>
      <c r="E12" s="3">
        <f t="shared" si="0"/>
        <v>0.11383537653239927</v>
      </c>
      <c r="F12" s="3">
        <f t="shared" si="1"/>
        <v>0.46596858638743444</v>
      </c>
      <c r="G12" s="3">
        <f t="shared" si="2"/>
        <v>0.28990198145991686</v>
      </c>
      <c r="H12" s="3">
        <v>59</v>
      </c>
      <c r="I12" s="3">
        <v>25</v>
      </c>
      <c r="J12" s="4">
        <f t="shared" si="3"/>
        <v>0.42372881355932202</v>
      </c>
    </row>
    <row r="13" spans="1:10" x14ac:dyDescent="0.3">
      <c r="A13" s="1" t="s">
        <v>17</v>
      </c>
      <c r="B13" s="1" t="s">
        <v>16</v>
      </c>
      <c r="C13" s="3">
        <v>3.89</v>
      </c>
      <c r="D13" s="3">
        <v>0.222</v>
      </c>
      <c r="E13" s="3">
        <f t="shared" si="0"/>
        <v>0.24343257443082311</v>
      </c>
      <c r="F13" s="3">
        <f t="shared" si="1"/>
        <v>0.34554973821989521</v>
      </c>
      <c r="G13" s="3">
        <f t="shared" si="2"/>
        <v>0.29449115632535916</v>
      </c>
      <c r="H13" s="3">
        <v>42</v>
      </c>
      <c r="I13" s="3">
        <v>22</v>
      </c>
      <c r="J13" s="4">
        <f t="shared" si="3"/>
        <v>0.52380952380952384</v>
      </c>
    </row>
    <row r="14" spans="1:10" x14ac:dyDescent="0.3">
      <c r="A14" s="1" t="s">
        <v>8</v>
      </c>
      <c r="B14" s="1" t="s">
        <v>41</v>
      </c>
      <c r="C14" s="3">
        <v>2.5</v>
      </c>
      <c r="D14" s="3">
        <v>0.17</v>
      </c>
      <c r="E14" s="3">
        <f t="shared" si="0"/>
        <v>0</v>
      </c>
      <c r="F14" s="3">
        <f t="shared" si="1"/>
        <v>0.61780104712041872</v>
      </c>
      <c r="G14" s="3">
        <f t="shared" si="2"/>
        <v>0.30890052356020936</v>
      </c>
      <c r="H14" s="3">
        <v>30</v>
      </c>
      <c r="I14" s="3">
        <v>8</v>
      </c>
      <c r="J14" s="4">
        <f t="shared" si="3"/>
        <v>0.26666666666666666</v>
      </c>
    </row>
    <row r="15" spans="1:10" x14ac:dyDescent="0.3">
      <c r="A15" s="1" t="s">
        <v>8</v>
      </c>
      <c r="B15" s="1" t="s">
        <v>28</v>
      </c>
      <c r="C15" s="3">
        <v>3.33</v>
      </c>
      <c r="D15" s="3">
        <v>0.19400000000000001</v>
      </c>
      <c r="E15" s="3">
        <f t="shared" si="0"/>
        <v>0.14535901926444833</v>
      </c>
      <c r="F15" s="3">
        <f t="shared" si="1"/>
        <v>0.49214659685863871</v>
      </c>
      <c r="G15" s="3">
        <f t="shared" si="2"/>
        <v>0.31875280806154349</v>
      </c>
      <c r="H15" s="3">
        <v>30</v>
      </c>
      <c r="I15" s="3">
        <v>12</v>
      </c>
      <c r="J15" s="4">
        <f t="shared" si="3"/>
        <v>0.4</v>
      </c>
    </row>
    <row r="16" spans="1:10" x14ac:dyDescent="0.3">
      <c r="A16" s="1" t="s">
        <v>8</v>
      </c>
      <c r="B16" s="1" t="s">
        <v>40</v>
      </c>
      <c r="C16" s="3">
        <v>3.12</v>
      </c>
      <c r="D16" s="3">
        <v>0.17599999999999999</v>
      </c>
      <c r="E16" s="3">
        <f t="shared" si="0"/>
        <v>0.10858143607705779</v>
      </c>
      <c r="F16" s="3">
        <f t="shared" si="1"/>
        <v>0.58638743455497377</v>
      </c>
      <c r="G16" s="3">
        <f t="shared" si="2"/>
        <v>0.34748443531601581</v>
      </c>
      <c r="H16" s="3">
        <v>31</v>
      </c>
      <c r="I16" s="3">
        <v>11</v>
      </c>
      <c r="J16" s="4">
        <f t="shared" si="3"/>
        <v>0.35483870967741937</v>
      </c>
    </row>
    <row r="17" spans="1:10" x14ac:dyDescent="0.3">
      <c r="A17" s="1" t="s">
        <v>36</v>
      </c>
      <c r="B17" s="1" t="s">
        <v>37</v>
      </c>
      <c r="C17" s="3">
        <v>3.68</v>
      </c>
      <c r="D17" s="3">
        <v>0.19</v>
      </c>
      <c r="E17" s="3">
        <f t="shared" si="0"/>
        <v>0.20665499124343256</v>
      </c>
      <c r="F17" s="3">
        <f t="shared" si="1"/>
        <v>0.51308900523560208</v>
      </c>
      <c r="G17" s="3">
        <f t="shared" si="2"/>
        <v>0.35987199823951732</v>
      </c>
      <c r="H17" s="3">
        <v>48</v>
      </c>
      <c r="I17" s="3">
        <v>20</v>
      </c>
      <c r="J17" s="4">
        <f t="shared" si="3"/>
        <v>0.41666666666666669</v>
      </c>
    </row>
    <row r="18" spans="1:10" x14ac:dyDescent="0.3">
      <c r="A18" s="1" t="s">
        <v>33</v>
      </c>
      <c r="B18" s="1" t="s">
        <v>26</v>
      </c>
      <c r="C18" s="3">
        <v>4.5199999999999996</v>
      </c>
      <c r="D18" s="3">
        <v>0.21299999999999999</v>
      </c>
      <c r="E18" s="3">
        <f t="shared" si="0"/>
        <v>0.3537653239929946</v>
      </c>
      <c r="F18" s="3">
        <f t="shared" si="1"/>
        <v>0.39267015706806274</v>
      </c>
      <c r="G18" s="3">
        <f t="shared" si="2"/>
        <v>0.3732177405305287</v>
      </c>
      <c r="H18" s="3">
        <v>91</v>
      </c>
      <c r="I18" s="3">
        <v>52</v>
      </c>
      <c r="J18" s="4">
        <f t="shared" si="3"/>
        <v>0.5714285714285714</v>
      </c>
    </row>
    <row r="19" spans="1:10" x14ac:dyDescent="0.3">
      <c r="A19" s="1" t="s">
        <v>8</v>
      </c>
      <c r="B19" s="1" t="s">
        <v>51</v>
      </c>
      <c r="C19" s="3">
        <v>3.5</v>
      </c>
      <c r="D19" s="3">
        <v>0.16400000000000001</v>
      </c>
      <c r="E19" s="3">
        <f t="shared" si="0"/>
        <v>0.17513134851138351</v>
      </c>
      <c r="F19" s="3">
        <f t="shared" si="1"/>
        <v>0.64921465968586378</v>
      </c>
      <c r="G19" s="3">
        <f t="shared" si="2"/>
        <v>0.41217300409862367</v>
      </c>
      <c r="H19" s="3">
        <v>30</v>
      </c>
      <c r="I19" s="3">
        <v>11</v>
      </c>
      <c r="J19" s="4">
        <f t="shared" si="3"/>
        <v>0.36666666666666664</v>
      </c>
    </row>
    <row r="20" spans="1:10" x14ac:dyDescent="0.3">
      <c r="A20" s="1" t="s">
        <v>25</v>
      </c>
      <c r="B20" s="1" t="s">
        <v>26</v>
      </c>
      <c r="C20" s="3">
        <v>5.23</v>
      </c>
      <c r="D20" s="3">
        <v>0.216</v>
      </c>
      <c r="E20" s="3">
        <f t="shared" si="0"/>
        <v>0.47810858143607704</v>
      </c>
      <c r="F20" s="3">
        <f t="shared" si="1"/>
        <v>0.37696335078534027</v>
      </c>
      <c r="G20" s="3">
        <f t="shared" si="2"/>
        <v>0.42753596611070865</v>
      </c>
      <c r="H20" s="3">
        <v>87</v>
      </c>
      <c r="I20" s="3">
        <v>49</v>
      </c>
      <c r="J20" s="4">
        <f t="shared" si="3"/>
        <v>0.56321839080459768</v>
      </c>
    </row>
    <row r="21" spans="1:10" x14ac:dyDescent="0.3">
      <c r="A21" s="1" t="s">
        <v>8</v>
      </c>
      <c r="B21" s="1" t="s">
        <v>50</v>
      </c>
      <c r="C21" s="3">
        <v>4.38</v>
      </c>
      <c r="D21" s="3">
        <v>0.184</v>
      </c>
      <c r="E21" s="3">
        <f t="shared" si="0"/>
        <v>0.32924693520140097</v>
      </c>
      <c r="F21" s="3">
        <f t="shared" si="1"/>
        <v>0.54450261780104703</v>
      </c>
      <c r="G21" s="3">
        <f t="shared" si="2"/>
        <v>0.43687477650122397</v>
      </c>
      <c r="H21" s="3">
        <v>31</v>
      </c>
      <c r="I21" s="3">
        <v>10</v>
      </c>
      <c r="J21" s="4">
        <f t="shared" si="3"/>
        <v>0.32258064516129031</v>
      </c>
    </row>
    <row r="22" spans="1:10" x14ac:dyDescent="0.3">
      <c r="A22" s="1" t="s">
        <v>8</v>
      </c>
      <c r="B22" s="1" t="s">
        <v>18</v>
      </c>
      <c r="C22" s="3">
        <v>3.5</v>
      </c>
      <c r="D22" s="3">
        <v>0.152</v>
      </c>
      <c r="E22" s="3">
        <f t="shared" si="0"/>
        <v>0.17513134851138351</v>
      </c>
      <c r="F22" s="3">
        <f t="shared" si="1"/>
        <v>0.7120418848167539</v>
      </c>
      <c r="G22" s="3">
        <f t="shared" si="2"/>
        <v>0.44358661666406873</v>
      </c>
      <c r="H22" s="3">
        <v>33</v>
      </c>
      <c r="I22" s="3">
        <v>12</v>
      </c>
      <c r="J22" s="4">
        <f t="shared" si="3"/>
        <v>0.36363636363636365</v>
      </c>
    </row>
    <row r="23" spans="1:10" x14ac:dyDescent="0.3">
      <c r="A23" s="1" t="s">
        <v>8</v>
      </c>
      <c r="B23" s="1" t="s">
        <v>14</v>
      </c>
      <c r="C23" s="3">
        <v>4.38</v>
      </c>
      <c r="D23" s="3">
        <v>0.17299999999999999</v>
      </c>
      <c r="E23" s="3">
        <f t="shared" si="0"/>
        <v>0.32924693520140097</v>
      </c>
      <c r="F23" s="3">
        <f t="shared" si="1"/>
        <v>0.60209424083769636</v>
      </c>
      <c r="G23" s="3">
        <f t="shared" si="2"/>
        <v>0.46567058801954864</v>
      </c>
      <c r="H23" s="3">
        <v>31</v>
      </c>
      <c r="I23" s="3">
        <v>12</v>
      </c>
      <c r="J23" s="4">
        <f t="shared" si="3"/>
        <v>0.38709677419354838</v>
      </c>
    </row>
    <row r="24" spans="1:10" x14ac:dyDescent="0.3">
      <c r="A24" s="1" t="s">
        <v>8</v>
      </c>
      <c r="B24" s="1" t="s">
        <v>27</v>
      </c>
      <c r="C24" s="3">
        <v>2.5</v>
      </c>
      <c r="D24" s="3">
        <v>9.7000000000000003E-2</v>
      </c>
      <c r="E24" s="3">
        <f t="shared" si="0"/>
        <v>0</v>
      </c>
      <c r="F24" s="3">
        <f t="shared" si="1"/>
        <v>1</v>
      </c>
      <c r="G24" s="3">
        <f t="shared" si="2"/>
        <v>0.5</v>
      </c>
      <c r="H24" s="3">
        <v>30</v>
      </c>
      <c r="I24" s="3">
        <v>10</v>
      </c>
      <c r="J24" s="4">
        <f t="shared" si="3"/>
        <v>0.33333333333333331</v>
      </c>
    </row>
    <row r="25" spans="1:10" x14ac:dyDescent="0.3">
      <c r="A25" s="1" t="s">
        <v>23</v>
      </c>
      <c r="B25" s="1" t="s">
        <v>24</v>
      </c>
      <c r="C25" s="3">
        <v>5.94</v>
      </c>
      <c r="D25" s="3">
        <v>0.20699999999999999</v>
      </c>
      <c r="E25" s="3">
        <f t="shared" si="0"/>
        <v>0.60245183887915932</v>
      </c>
      <c r="F25" s="3">
        <f t="shared" si="1"/>
        <v>0.4240837696335078</v>
      </c>
      <c r="G25" s="3">
        <f t="shared" si="2"/>
        <v>0.51326780425633356</v>
      </c>
      <c r="H25" s="3">
        <v>126</v>
      </c>
      <c r="I25" s="3">
        <v>56</v>
      </c>
      <c r="J25" s="4">
        <f t="shared" si="3"/>
        <v>0.44444444444444442</v>
      </c>
    </row>
    <row r="26" spans="1:10" x14ac:dyDescent="0.3">
      <c r="A26" s="1" t="s">
        <v>52</v>
      </c>
      <c r="B26" s="1" t="s">
        <v>16</v>
      </c>
      <c r="C26" s="3">
        <v>6.18</v>
      </c>
      <c r="D26" s="3">
        <v>0.215</v>
      </c>
      <c r="E26" s="3">
        <f t="shared" si="0"/>
        <v>0.64448336252189131</v>
      </c>
      <c r="F26" s="3">
        <f t="shared" si="1"/>
        <v>0.38219895287958106</v>
      </c>
      <c r="G26" s="3">
        <f t="shared" si="2"/>
        <v>0.51334115770073618</v>
      </c>
      <c r="H26" s="3">
        <v>89</v>
      </c>
      <c r="I26" s="3">
        <v>41</v>
      </c>
      <c r="J26" s="4">
        <f t="shared" si="3"/>
        <v>0.4606741573033708</v>
      </c>
    </row>
    <row r="27" spans="1:10" x14ac:dyDescent="0.3">
      <c r="A27" s="1" t="s">
        <v>21</v>
      </c>
      <c r="B27" s="1" t="s">
        <v>22</v>
      </c>
      <c r="C27" s="3">
        <v>5.83</v>
      </c>
      <c r="D27" s="3">
        <v>0.19600000000000001</v>
      </c>
      <c r="E27" s="3">
        <f t="shared" si="0"/>
        <v>0.58318739054290714</v>
      </c>
      <c r="F27" s="3">
        <f t="shared" si="1"/>
        <v>0.48167539267015702</v>
      </c>
      <c r="G27" s="3">
        <f t="shared" si="2"/>
        <v>0.53243139160653208</v>
      </c>
      <c r="H27" s="3">
        <v>276</v>
      </c>
      <c r="I27" s="3">
        <v>120</v>
      </c>
      <c r="J27" s="4">
        <f t="shared" si="3"/>
        <v>0.43478260869565216</v>
      </c>
    </row>
    <row r="28" spans="1:10" x14ac:dyDescent="0.3">
      <c r="A28" s="1" t="s">
        <v>46</v>
      </c>
      <c r="B28" s="1" t="s">
        <v>47</v>
      </c>
      <c r="C28" s="3">
        <v>4.5199999999999996</v>
      </c>
      <c r="D28" s="3">
        <v>0.152</v>
      </c>
      <c r="E28" s="3">
        <f t="shared" si="0"/>
        <v>0.3537653239929946</v>
      </c>
      <c r="F28" s="3">
        <f t="shared" si="1"/>
        <v>0.7120418848167539</v>
      </c>
      <c r="G28" s="3">
        <f t="shared" si="2"/>
        <v>0.53290360440487428</v>
      </c>
      <c r="H28" s="3">
        <v>103</v>
      </c>
      <c r="I28" s="3">
        <v>49</v>
      </c>
      <c r="J28" s="4">
        <f t="shared" si="3"/>
        <v>0.47572815533980584</v>
      </c>
    </row>
    <row r="29" spans="1:10" x14ac:dyDescent="0.3">
      <c r="A29" s="1" t="s">
        <v>15</v>
      </c>
      <c r="B29" s="1" t="s">
        <v>16</v>
      </c>
      <c r="C29" s="3">
        <v>6.14</v>
      </c>
      <c r="D29" s="3">
        <v>0.20399999999999999</v>
      </c>
      <c r="E29" s="3">
        <f t="shared" si="0"/>
        <v>0.63747810858143594</v>
      </c>
      <c r="F29" s="3">
        <f t="shared" si="1"/>
        <v>0.43979057591623039</v>
      </c>
      <c r="G29" s="3">
        <f t="shared" si="2"/>
        <v>0.53863434224883311</v>
      </c>
      <c r="H29" s="3">
        <v>54</v>
      </c>
      <c r="I29" s="3">
        <v>23</v>
      </c>
      <c r="J29" s="4">
        <f t="shared" si="3"/>
        <v>0.42592592592592593</v>
      </c>
    </row>
    <row r="30" spans="1:10" x14ac:dyDescent="0.3">
      <c r="A30" s="1" t="s">
        <v>48</v>
      </c>
      <c r="B30" s="1" t="s">
        <v>49</v>
      </c>
      <c r="C30" s="3">
        <v>6.41</v>
      </c>
      <c r="D30" s="3">
        <v>0.21199999999999999</v>
      </c>
      <c r="E30" s="3">
        <f t="shared" si="0"/>
        <v>0.6847635726795096</v>
      </c>
      <c r="F30" s="3">
        <f t="shared" si="1"/>
        <v>0.39790575916230364</v>
      </c>
      <c r="G30" s="3">
        <f t="shared" si="2"/>
        <v>0.54133466592090662</v>
      </c>
      <c r="H30" s="3">
        <v>58</v>
      </c>
      <c r="I30" s="3">
        <v>24</v>
      </c>
      <c r="J30" s="4">
        <f t="shared" si="3"/>
        <v>0.41379310344827586</v>
      </c>
    </row>
    <row r="31" spans="1:10" x14ac:dyDescent="0.3">
      <c r="A31" s="1" t="s">
        <v>19</v>
      </c>
      <c r="B31" s="1" t="s">
        <v>20</v>
      </c>
      <c r="C31" s="3">
        <v>6.2</v>
      </c>
      <c r="D31" s="3">
        <v>0.192</v>
      </c>
      <c r="E31" s="3">
        <f t="shared" si="0"/>
        <v>0.64798598949211905</v>
      </c>
      <c r="F31" s="3">
        <f t="shared" si="1"/>
        <v>0.50261780104712028</v>
      </c>
      <c r="G31" s="3">
        <f t="shared" si="2"/>
        <v>0.57530189526961961</v>
      </c>
      <c r="H31" s="3">
        <v>48</v>
      </c>
      <c r="I31" s="3">
        <v>24</v>
      </c>
      <c r="J31" s="4">
        <f t="shared" si="3"/>
        <v>0.5</v>
      </c>
    </row>
    <row r="32" spans="1:10" x14ac:dyDescent="0.3">
      <c r="A32" s="1" t="s">
        <v>6</v>
      </c>
      <c r="B32" s="1" t="s">
        <v>7</v>
      </c>
      <c r="C32" s="3">
        <v>7.5</v>
      </c>
      <c r="D32" s="3">
        <v>0.22900000000000001</v>
      </c>
      <c r="E32" s="3">
        <f t="shared" si="0"/>
        <v>0.87565674255691761</v>
      </c>
      <c r="F32" s="3">
        <f t="shared" si="1"/>
        <v>0.30890052356020925</v>
      </c>
      <c r="G32" s="3">
        <f t="shared" si="2"/>
        <v>0.59227863305856343</v>
      </c>
      <c r="H32" s="3">
        <v>11</v>
      </c>
      <c r="I32" s="3">
        <v>8</v>
      </c>
      <c r="J32" s="4">
        <f t="shared" si="3"/>
        <v>0.72727272727272729</v>
      </c>
    </row>
    <row r="33" spans="1:10" x14ac:dyDescent="0.3">
      <c r="A33" s="1" t="s">
        <v>42</v>
      </c>
      <c r="B33" s="1" t="s">
        <v>43</v>
      </c>
      <c r="C33" s="3">
        <v>7.1</v>
      </c>
      <c r="D33" s="3">
        <v>0.19600000000000001</v>
      </c>
      <c r="E33" s="3">
        <f t="shared" si="0"/>
        <v>0.80560420315236414</v>
      </c>
      <c r="F33" s="3">
        <f t="shared" si="1"/>
        <v>0.48167539267015702</v>
      </c>
      <c r="G33" s="3">
        <f t="shared" si="2"/>
        <v>0.64363979791126058</v>
      </c>
      <c r="H33" s="3">
        <v>98</v>
      </c>
      <c r="I33" s="3">
        <v>30</v>
      </c>
      <c r="J33" s="4">
        <f t="shared" si="3"/>
        <v>0.30612244897959184</v>
      </c>
    </row>
    <row r="34" spans="1:10" x14ac:dyDescent="0.3">
      <c r="A34" s="1" t="s">
        <v>15</v>
      </c>
      <c r="B34" s="1" t="s">
        <v>29</v>
      </c>
      <c r="C34" s="3">
        <v>8.2100000000000009</v>
      </c>
      <c r="D34" s="3">
        <v>0.21099999999999999</v>
      </c>
      <c r="E34" s="3">
        <f t="shared" si="0"/>
        <v>1</v>
      </c>
      <c r="F34" s="3">
        <f t="shared" si="1"/>
        <v>0.40314136125654443</v>
      </c>
      <c r="G34" s="3">
        <f t="shared" si="2"/>
        <v>0.70157068062827221</v>
      </c>
      <c r="H34" s="3">
        <v>11</v>
      </c>
      <c r="I34" s="3">
        <v>8</v>
      </c>
      <c r="J34" s="4">
        <f t="shared" si="3"/>
        <v>0.72727272727272729</v>
      </c>
    </row>
    <row r="35" spans="1:10" x14ac:dyDescent="0.3">
      <c r="A35" s="1" t="s">
        <v>35</v>
      </c>
      <c r="B35" s="1" t="s">
        <v>16</v>
      </c>
      <c r="C35" s="3">
        <v>8.07</v>
      </c>
      <c r="D35" s="3">
        <v>0.20100000000000001</v>
      </c>
      <c r="E35" s="3">
        <f t="shared" si="0"/>
        <v>0.97548161120840626</v>
      </c>
      <c r="F35" s="3">
        <f t="shared" si="1"/>
        <v>0.45549738219895275</v>
      </c>
      <c r="G35" s="3">
        <f t="shared" si="2"/>
        <v>0.71548949670367956</v>
      </c>
      <c r="H35" s="3">
        <v>81</v>
      </c>
      <c r="I35" s="3">
        <v>46</v>
      </c>
      <c r="J35" s="4">
        <f t="shared" si="3"/>
        <v>0.5679012345679012</v>
      </c>
    </row>
    <row r="36" spans="1:10" x14ac:dyDescent="0.3">
      <c r="A36" s="1" t="s">
        <v>44</v>
      </c>
      <c r="B36" s="1" t="s">
        <v>45</v>
      </c>
      <c r="C36" s="3">
        <v>8.11</v>
      </c>
      <c r="D36" s="3">
        <v>0.121</v>
      </c>
      <c r="E36" s="3">
        <f t="shared" si="0"/>
        <v>0.98248686514886141</v>
      </c>
      <c r="F36" s="3">
        <f t="shared" si="1"/>
        <v>0.87434554973821987</v>
      </c>
      <c r="G36" s="3">
        <f t="shared" si="2"/>
        <v>0.9284162074435407</v>
      </c>
      <c r="H36" s="3">
        <v>251</v>
      </c>
      <c r="I36" s="3">
        <v>98</v>
      </c>
      <c r="J36" s="4">
        <f t="shared" si="3"/>
        <v>0.39043824701195218</v>
      </c>
    </row>
    <row r="37" spans="1:10" x14ac:dyDescent="0.3">
      <c r="J37" s="4"/>
    </row>
  </sheetData>
  <sortState xmlns:xlrd2="http://schemas.microsoft.com/office/spreadsheetml/2017/richdata2" ref="A2:J36">
    <sortCondition ref="G5:G3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physc_course_results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2025-03-24T21:31:46Z</dcterms:created>
  <dcterms:modified xsi:type="dcterms:W3CDTF">2025-03-27T21:54:17Z</dcterms:modified>
</cp:coreProperties>
</file>
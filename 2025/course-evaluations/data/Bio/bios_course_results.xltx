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13_ncr:9_{2C947910-DB62-BC4F-84C3-E0BAC4058CA2}" xr6:coauthVersionLast="47" xr6:coauthVersionMax="47" xr10:uidLastSave="{00000000-0000-0000-0000-000000000000}"/>
  <bookViews>
    <workbookView xWindow="3940" yWindow="1240" windowWidth="24780" windowHeight="16180" xr2:uid="{84F17406-8C0C-A64D-821C-816EA2D04763}"/>
  </bookViews>
  <sheets>
    <sheet name="Sheet1" sheetId="2" r:id="rId1"/>
    <sheet name="bios_course_results" sheetId="1" r:id="rId2"/>
  </sheets>
  <calcPr calcId="191029"/>
  <pivotCaches>
    <pivotCache cacheId="1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0" i="1" l="1"/>
  <c r="G3" i="1"/>
  <c r="G61" i="1"/>
  <c r="G27" i="1"/>
  <c r="G59" i="1"/>
  <c r="G44" i="1"/>
  <c r="G38" i="1"/>
  <c r="F59" i="1"/>
  <c r="F28" i="1"/>
  <c r="F22" i="1"/>
  <c r="F36" i="1"/>
  <c r="F25" i="1"/>
  <c r="F32" i="1"/>
  <c r="F4" i="1"/>
  <c r="F11" i="1"/>
  <c r="F44" i="1"/>
  <c r="F17" i="1"/>
  <c r="F41" i="1"/>
  <c r="F50" i="1"/>
  <c r="F46" i="1"/>
  <c r="F34" i="1"/>
  <c r="F56" i="1"/>
  <c r="F47" i="1"/>
  <c r="F38" i="1"/>
  <c r="F45" i="1"/>
  <c r="F57" i="1"/>
  <c r="F12" i="1"/>
  <c r="F43" i="1"/>
  <c r="F8" i="1"/>
  <c r="F29" i="1"/>
  <c r="F30" i="1"/>
  <c r="F19" i="1"/>
  <c r="G19" i="1" s="1"/>
  <c r="F54" i="1"/>
  <c r="G54" i="1" s="1"/>
  <c r="F24" i="1"/>
  <c r="G24" i="1" s="1"/>
  <c r="F60" i="1"/>
  <c r="F23" i="1"/>
  <c r="F37" i="1"/>
  <c r="F42" i="1"/>
  <c r="F14" i="1"/>
  <c r="F55" i="1"/>
  <c r="F18" i="1"/>
  <c r="F40" i="1"/>
  <c r="F3" i="1"/>
  <c r="F35" i="1"/>
  <c r="F51" i="1"/>
  <c r="F48" i="1"/>
  <c r="F58" i="1"/>
  <c r="F53" i="1"/>
  <c r="F31" i="1"/>
  <c r="F21" i="1"/>
  <c r="F61" i="1"/>
  <c r="F13" i="1"/>
  <c r="F16" i="1"/>
  <c r="F7" i="1"/>
  <c r="F52" i="1"/>
  <c r="F33" i="1"/>
  <c r="F15" i="1"/>
  <c r="F2" i="1"/>
  <c r="F27" i="1"/>
  <c r="F6" i="1"/>
  <c r="F10" i="1"/>
  <c r="F39" i="1"/>
  <c r="F20" i="1"/>
  <c r="F49" i="1"/>
  <c r="F26" i="1"/>
  <c r="F5" i="1"/>
  <c r="F9" i="1"/>
  <c r="E23" i="1"/>
  <c r="G23" i="1" s="1"/>
  <c r="E37" i="1"/>
  <c r="G37" i="1" s="1"/>
  <c r="E42" i="1"/>
  <c r="G42" i="1" s="1"/>
  <c r="E14" i="1"/>
  <c r="G14" i="1" s="1"/>
  <c r="E55" i="1"/>
  <c r="G55" i="1" s="1"/>
  <c r="E18" i="1"/>
  <c r="G18" i="1" s="1"/>
  <c r="E40" i="1"/>
  <c r="G40" i="1" s="1"/>
  <c r="E3" i="1"/>
  <c r="E35" i="1"/>
  <c r="G35" i="1" s="1"/>
  <c r="E51" i="1"/>
  <c r="G51" i="1" s="1"/>
  <c r="E48" i="1"/>
  <c r="G48" i="1" s="1"/>
  <c r="E58" i="1"/>
  <c r="G58" i="1" s="1"/>
  <c r="E53" i="1"/>
  <c r="G53" i="1" s="1"/>
  <c r="E31" i="1"/>
  <c r="G31" i="1" s="1"/>
  <c r="E21" i="1"/>
  <c r="G21" i="1" s="1"/>
  <c r="E61" i="1"/>
  <c r="E13" i="1"/>
  <c r="G13" i="1" s="1"/>
  <c r="E16" i="1"/>
  <c r="G16" i="1" s="1"/>
  <c r="E7" i="1"/>
  <c r="G7" i="1" s="1"/>
  <c r="E52" i="1"/>
  <c r="G52" i="1" s="1"/>
  <c r="E33" i="1"/>
  <c r="G33" i="1" s="1"/>
  <c r="E15" i="1"/>
  <c r="G15" i="1" s="1"/>
  <c r="E2" i="1"/>
  <c r="G2" i="1" s="1"/>
  <c r="E27" i="1"/>
  <c r="E6" i="1"/>
  <c r="G6" i="1" s="1"/>
  <c r="E10" i="1"/>
  <c r="G10" i="1" s="1"/>
  <c r="E39" i="1"/>
  <c r="G39" i="1" s="1"/>
  <c r="E20" i="1"/>
  <c r="G20" i="1" s="1"/>
  <c r="E49" i="1"/>
  <c r="G49" i="1" s="1"/>
  <c r="E26" i="1"/>
  <c r="G26" i="1" s="1"/>
  <c r="E5" i="1"/>
  <c r="G5" i="1" s="1"/>
  <c r="E59" i="1"/>
  <c r="E28" i="1"/>
  <c r="G28" i="1" s="1"/>
  <c r="E22" i="1"/>
  <c r="G22" i="1" s="1"/>
  <c r="E36" i="1"/>
  <c r="G36" i="1" s="1"/>
  <c r="E25" i="1"/>
  <c r="G25" i="1" s="1"/>
  <c r="E32" i="1"/>
  <c r="G32" i="1" s="1"/>
  <c r="E4" i="1"/>
  <c r="G4" i="1" s="1"/>
  <c r="E11" i="1"/>
  <c r="G11" i="1" s="1"/>
  <c r="E44" i="1"/>
  <c r="E17" i="1"/>
  <c r="G17" i="1" s="1"/>
  <c r="E41" i="1"/>
  <c r="G41" i="1" s="1"/>
  <c r="E50" i="1"/>
  <c r="G50" i="1" s="1"/>
  <c r="E46" i="1"/>
  <c r="G46" i="1" s="1"/>
  <c r="E34" i="1"/>
  <c r="G34" i="1" s="1"/>
  <c r="E56" i="1"/>
  <c r="G56" i="1" s="1"/>
  <c r="E47" i="1"/>
  <c r="G47" i="1" s="1"/>
  <c r="E38" i="1"/>
  <c r="E45" i="1"/>
  <c r="G45" i="1" s="1"/>
  <c r="E57" i="1"/>
  <c r="G57" i="1" s="1"/>
  <c r="E12" i="1"/>
  <c r="G12" i="1" s="1"/>
  <c r="E43" i="1"/>
  <c r="G43" i="1" s="1"/>
  <c r="E8" i="1"/>
  <c r="G8" i="1" s="1"/>
  <c r="E29" i="1"/>
  <c r="G29" i="1" s="1"/>
  <c r="E30" i="1"/>
  <c r="G30" i="1" s="1"/>
  <c r="E19" i="1"/>
  <c r="E54" i="1"/>
  <c r="E24" i="1"/>
  <c r="E60" i="1"/>
  <c r="E9" i="1"/>
  <c r="G9" i="1" s="1"/>
  <c r="J22" i="1"/>
  <c r="J36" i="1"/>
  <c r="J25" i="1"/>
  <c r="J32" i="1"/>
  <c r="J4" i="1"/>
  <c r="J11" i="1"/>
  <c r="J44" i="1"/>
  <c r="J17" i="1"/>
  <c r="J41" i="1"/>
  <c r="J50" i="1"/>
  <c r="J46" i="1"/>
  <c r="J34" i="1"/>
  <c r="J56" i="1"/>
  <c r="J47" i="1"/>
  <c r="J38" i="1"/>
  <c r="J45" i="1"/>
  <c r="J57" i="1"/>
  <c r="J12" i="1"/>
  <c r="J43" i="1"/>
  <c r="J8" i="1"/>
  <c r="J29" i="1"/>
  <c r="J30" i="1"/>
  <c r="J19" i="1"/>
  <c r="J54" i="1"/>
  <c r="J24" i="1"/>
  <c r="J60" i="1"/>
  <c r="J23" i="1"/>
  <c r="J37" i="1"/>
  <c r="J42" i="1"/>
  <c r="J14" i="1"/>
  <c r="J55" i="1"/>
  <c r="J18" i="1"/>
  <c r="J40" i="1"/>
  <c r="J3" i="1"/>
  <c r="J35" i="1"/>
  <c r="J51" i="1"/>
  <c r="J48" i="1"/>
  <c r="J58" i="1"/>
  <c r="J53" i="1"/>
  <c r="J31" i="1"/>
  <c r="J21" i="1"/>
  <c r="J61" i="1"/>
  <c r="J13" i="1"/>
  <c r="J16" i="1"/>
  <c r="J7" i="1"/>
  <c r="J52" i="1"/>
  <c r="J33" i="1"/>
  <c r="J15" i="1"/>
  <c r="J2" i="1"/>
  <c r="J27" i="1"/>
  <c r="J6" i="1"/>
  <c r="J10" i="1"/>
  <c r="J39" i="1"/>
  <c r="J20" i="1"/>
  <c r="J49" i="1"/>
  <c r="J26" i="1"/>
  <c r="J5" i="1"/>
  <c r="J59" i="1"/>
  <c r="J28" i="1"/>
  <c r="J9" i="1"/>
</calcChain>
</file>

<file path=xl/sharedStrings.xml><?xml version="1.0" encoding="utf-8"?>
<sst xmlns="http://schemas.openxmlformats.org/spreadsheetml/2006/main" count="161" uniqueCount="74">
  <si>
    <t>Course Code</t>
  </si>
  <si>
    <t>Instructor</t>
  </si>
  <si>
    <t>Enrolled</t>
  </si>
  <si>
    <t>Responses</t>
  </si>
  <si>
    <t>Avg Hours</t>
  </si>
  <si>
    <t>Sentiment Score</t>
  </si>
  <si>
    <t>BIOS 10130</t>
  </si>
  <si>
    <t>(s) Beatrice</t>
  </si>
  <si>
    <t>BIOS 11125</t>
  </si>
  <si>
    <t>(s) Aaron Turkewitz, Marcelo Nobrega</t>
  </si>
  <si>
    <t>BIOS 11137</t>
  </si>
  <si>
    <t>(s)</t>
  </si>
  <si>
    <t>BIOS 13128</t>
  </si>
  <si>
    <t>(s) Alison</t>
  </si>
  <si>
    <t>BIOS 10140</t>
  </si>
  <si>
    <t>(s) Oscar PinedaCatalan</t>
  </si>
  <si>
    <t>(s) Robert Bednarczyk</t>
  </si>
  <si>
    <t>BIOS 13134</t>
  </si>
  <si>
    <t>(s) Katelyn Butler</t>
  </si>
  <si>
    <t>BIOS 14117</t>
  </si>
  <si>
    <t>(s) Pliny Smith</t>
  </si>
  <si>
    <t>BIOS 13111</t>
  </si>
  <si>
    <t>(s)  Eric C Larsen</t>
  </si>
  <si>
    <t>BIOS 12117</t>
  </si>
  <si>
    <t>(s)  Neil H Shubin</t>
  </si>
  <si>
    <t>BIOS 12115</t>
  </si>
  <si>
    <t>(s)  Mahesh P Gupta, Yun Fang</t>
  </si>
  <si>
    <t>BIOS 11136</t>
  </si>
  <si>
    <t>(s) Andrew Dahl, Xuanyao Liu</t>
  </si>
  <si>
    <t>BIOS 10602</t>
  </si>
  <si>
    <t>(s) Esmael Jafari Haddadian</t>
  </si>
  <si>
    <t>(s) Carolyn Martineau</t>
  </si>
  <si>
    <t>(s) Amanda Brock</t>
  </si>
  <si>
    <t>BIOS 12114</t>
  </si>
  <si>
    <t>(s) Paul J</t>
  </si>
  <si>
    <t>BPRO 28800</t>
  </si>
  <si>
    <t>(s) Leslie Rogers, Paul</t>
  </si>
  <si>
    <t>BIOS 15127</t>
  </si>
  <si>
    <t>(s)  Paul J</t>
  </si>
  <si>
    <t>(s)  Navneet Bhasin</t>
  </si>
  <si>
    <t>(s)  Megan McNulty</t>
  </si>
  <si>
    <t>BIOS 11140</t>
  </si>
  <si>
    <t>(s) Navneet Bhasin</t>
  </si>
  <si>
    <t>(s) Megan McNulty</t>
  </si>
  <si>
    <t>(s)  Alison Hunter</t>
  </si>
  <si>
    <t>(s)  Katelyn Butler</t>
  </si>
  <si>
    <t>GEOS 13900</t>
  </si>
  <si>
    <t>(s) David Jablonski</t>
  </si>
  <si>
    <t>BIOS 13132</t>
  </si>
  <si>
    <t>(s) Trevor Price</t>
  </si>
  <si>
    <t>BIOS 12121</t>
  </si>
  <si>
    <t>(s) Alfredo Garcia III, Anna Clebone, Keith Ruskin</t>
  </si>
  <si>
    <t>(s) Eric C</t>
  </si>
  <si>
    <t>BIOS 15115</t>
  </si>
  <si>
    <t>(s)  Mitchel L Villereal</t>
  </si>
  <si>
    <t>BIOS 10501</t>
  </si>
  <si>
    <t>BIOS 14112</t>
  </si>
  <si>
    <t>(s) Marcia Tan, Megan McNulty</t>
  </si>
  <si>
    <t>BIOS 10500</t>
  </si>
  <si>
    <t>BIOS 13140</t>
  </si>
  <si>
    <t>(s) Eric C Larsen</t>
  </si>
  <si>
    <t>BIOS 15126</t>
  </si>
  <si>
    <t>(s)  Robert Bednarczyk</t>
  </si>
  <si>
    <t>(s) Mitchel L Villereal</t>
  </si>
  <si>
    <t>BIOS 10603</t>
  </si>
  <si>
    <t>Normalised Hours</t>
  </si>
  <si>
    <t>Inverted Sentiment</t>
  </si>
  <si>
    <t>Final Difficulty Score</t>
  </si>
  <si>
    <t>Response Rate</t>
  </si>
  <si>
    <t>Row Labels</t>
  </si>
  <si>
    <t>Grand Total</t>
  </si>
  <si>
    <t>Average of Sentiment Score</t>
  </si>
  <si>
    <t>Average of Avg Hours</t>
  </si>
  <si>
    <t>Average of Final Difficulty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</si>
</sst>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8" fillId="0" borderId="0" xfId="0" applyFont="1"/>
    <xf numFmtId="0" fontId="19" fillId="0" borderId="0" xfId="0" applyFont="1"/>
    <xf numFmtId="9" fontId="19" fillId="0" borderId="0" xfId="1" applyFont="1"/>
    <xf numFmtId="165" fontId="19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51.73804074074" createdVersion="8" refreshedVersion="8" minRefreshableVersion="3" recordCount="60" xr:uid="{058C8F11-1E44-B444-A067-8BEC83191DA1}">
  <cacheSource type="worksheet">
    <worksheetSource ref="A1:J61" sheet="bios_course_results"/>
  </cacheSource>
  <cacheFields count="10">
    <cacheField name="Course Code" numFmtId="0">
      <sharedItems count="26">
        <s v="BIOS 13134"/>
        <s v="BIOS 13140"/>
        <s v="BPRO 28800"/>
        <s v="BIOS 11136"/>
        <s v="BIOS 14117"/>
        <s v="BIOS 13128"/>
        <s v="GEOS 13900"/>
        <s v="BIOS 10130"/>
        <s v="BIOS 15127"/>
        <s v="BIOS 10140"/>
        <s v="BIOS 11125"/>
        <s v="BIOS 11137"/>
        <s v="BIOS 15126"/>
        <s v="BIOS 13111"/>
        <s v="BIOS 15115"/>
        <s v="BIOS 14112"/>
        <s v="BIOS 12115"/>
        <s v="BIOS 13132"/>
        <s v="BIOS 12121"/>
        <s v="BIOS 11140"/>
        <s v="BIOS 12114"/>
        <s v="BIOS 10500"/>
        <s v="BIOS 12117"/>
        <s v="BIOS 10602"/>
        <s v="BIOS 10501"/>
        <s v="BIOS 10603"/>
      </sharedItems>
    </cacheField>
    <cacheField name="Instructor" numFmtId="0">
      <sharedItems/>
    </cacheField>
    <cacheField name="Avg Hours" numFmtId="0">
      <sharedItems containsSemiMixedTypes="0" containsString="0" containsNumber="1" minValue="2.5" maxValue="11.56"/>
    </cacheField>
    <cacheField name="Sentiment Score" numFmtId="165">
      <sharedItems containsSemiMixedTypes="0" containsString="0" containsNumber="1" minValue="8.3000000000000004E-2" maxValue="0.28599999999999998"/>
    </cacheField>
    <cacheField name="Normalised Hours" numFmtId="165">
      <sharedItems containsSemiMixedTypes="0" containsString="0" containsNumber="1" minValue="0" maxValue="1"/>
    </cacheField>
    <cacheField name="Inverted Sentiment" numFmtId="165">
      <sharedItems containsSemiMixedTypes="0" containsString="0" containsNumber="1" minValue="0" maxValue="1"/>
    </cacheField>
    <cacheField name="Final Difficulty Score" numFmtId="165">
      <sharedItems containsSemiMixedTypes="0" containsString="0" containsNumber="1" minValue="9.2163355408388506E-2" maxValue="0.82047434182624857"/>
    </cacheField>
    <cacheField name="Enrolled" numFmtId="0">
      <sharedItems containsSemiMixedTypes="0" containsString="0" containsNumber="1" containsInteger="1" minValue="12" maxValue="133"/>
    </cacheField>
    <cacheField name="Responses" numFmtId="0">
      <sharedItems containsSemiMixedTypes="0" containsString="0" containsNumber="1" containsInteger="1" minValue="5" maxValue="61"/>
    </cacheField>
    <cacheField name="Response Rate" numFmtId="9">
      <sharedItems containsSemiMixedTypes="0" containsString="0" containsNumber="1" minValue="0.29411764705882354" maxValue="0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(s) Katelyn Butler"/>
    <n v="4.17"/>
    <n v="0.28599999999999998"/>
    <n v="0.18432671081677701"/>
    <n v="0"/>
    <n v="9.2163355408388506E-2"/>
    <n v="32"/>
    <n v="15"/>
    <n v="0.46875"/>
  </r>
  <r>
    <x v="1"/>
    <s v="(s)  Eric C Larsen"/>
    <n v="3.36"/>
    <n v="0.24099999999999999"/>
    <n v="9.4922737306843252E-2"/>
    <n v="0.22167487684729059"/>
    <n v="0.15829880707706692"/>
    <n v="106"/>
    <n v="37"/>
    <n v="0.34905660377358488"/>
  </r>
  <r>
    <x v="2"/>
    <s v="(s) Leslie Rogers, Paul"/>
    <n v="3.72"/>
    <n v="0.24399999999999999"/>
    <n v="0.13465783664459163"/>
    <n v="0.2068965517241379"/>
    <n v="0.17077719418436477"/>
    <n v="133"/>
    <n v="49"/>
    <n v="0.36842105263157893"/>
  </r>
  <r>
    <x v="3"/>
    <s v="(s) Andrew Dahl, Xuanyao Liu"/>
    <n v="2.92"/>
    <n v="0.223"/>
    <n v="4.6357615894039722E-2"/>
    <n v="0.31034482758620674"/>
    <n v="0.17835122174012324"/>
    <n v="28"/>
    <n v="15"/>
    <n v="0.5357142857142857"/>
  </r>
  <r>
    <x v="4"/>
    <s v="(s)"/>
    <n v="2.5"/>
    <n v="0.2"/>
    <n v="0"/>
    <n v="0.42364532019704415"/>
    <n v="0.21182266009852208"/>
    <n v="36"/>
    <n v="15"/>
    <n v="0.41666666666666669"/>
  </r>
  <r>
    <x v="5"/>
    <s v="(s)"/>
    <n v="5.26"/>
    <n v="0.25800000000000001"/>
    <n v="0.30463576158940392"/>
    <n v="0.13793103448275845"/>
    <n v="0.22128339803608119"/>
    <n v="55"/>
    <n v="31"/>
    <n v="0.5636363636363636"/>
  </r>
  <r>
    <x v="6"/>
    <s v="(s) David Jablonski"/>
    <n v="4.95"/>
    <n v="0.251"/>
    <n v="0.27041942604856511"/>
    <n v="0.17241379310344818"/>
    <n v="0.22141660957600665"/>
    <n v="112"/>
    <n v="60"/>
    <n v="0.5357142857142857"/>
  </r>
  <r>
    <x v="7"/>
    <s v="(s) Beatrice"/>
    <n v="3.5"/>
    <n v="0.216"/>
    <n v="0.11037527593818984"/>
    <n v="0.34482758620689635"/>
    <n v="0.2276014310725431"/>
    <n v="46"/>
    <n v="16"/>
    <n v="0.34782608695652173"/>
  </r>
  <r>
    <x v="4"/>
    <s v="(s)"/>
    <n v="3.75"/>
    <n v="0.20899999999999999"/>
    <n v="0.13796909492273729"/>
    <n v="0.37931034482758608"/>
    <n v="0.25863971987516166"/>
    <n v="15"/>
    <n v="12"/>
    <n v="0.8"/>
  </r>
  <r>
    <x v="8"/>
    <s v="(s) Katelyn Butler"/>
    <n v="4.83"/>
    <n v="0.23300000000000001"/>
    <n v="0.25717439293598232"/>
    <n v="0.26108374384236432"/>
    <n v="0.25912906838917332"/>
    <n v="30"/>
    <n v="17"/>
    <n v="0.56666666666666665"/>
  </r>
  <r>
    <x v="9"/>
    <s v="(s)  Katelyn Butler"/>
    <n v="3.21"/>
    <n v="0.19600000000000001"/>
    <n v="7.8366445916114788E-2"/>
    <n v="0.44334975369458118"/>
    <n v="0.26085809980534796"/>
    <n v="23"/>
    <n v="14"/>
    <n v="0.60869565217391308"/>
  </r>
  <r>
    <x v="10"/>
    <s v="(s) Aaron Turkewitz, Marcelo Nobrega"/>
    <n v="3.61"/>
    <n v="0.2"/>
    <n v="0.1225165562913907"/>
    <n v="0.42364532019704415"/>
    <n v="0.27308093824421742"/>
    <n v="24"/>
    <n v="18"/>
    <n v="0.75"/>
  </r>
  <r>
    <x v="1"/>
    <s v="(s) Eric C Larsen"/>
    <n v="3.93"/>
    <n v="0.20499999999999999"/>
    <n v="0.15783664459161148"/>
    <n v="0.39901477832512311"/>
    <n v="0.27842571145836731"/>
    <n v="66"/>
    <n v="32"/>
    <n v="0.48484848484848486"/>
  </r>
  <r>
    <x v="9"/>
    <s v="(s) Robert Bednarczyk"/>
    <n v="3.75"/>
    <n v="0.19600000000000001"/>
    <n v="0.13796909492273729"/>
    <n v="0.44334975369458118"/>
    <n v="0.29065942430865921"/>
    <n v="25"/>
    <n v="15"/>
    <n v="0.6"/>
  </r>
  <r>
    <x v="11"/>
    <s v="(s)"/>
    <n v="3.61"/>
    <n v="0.191"/>
    <n v="0.1225165562913907"/>
    <n v="0.46798029556650234"/>
    <n v="0.29524842592894651"/>
    <n v="48"/>
    <n v="21"/>
    <n v="0.4375"/>
  </r>
  <r>
    <x v="7"/>
    <s v="(s) Beatrice"/>
    <n v="4"/>
    <n v="0.19900000000000001"/>
    <n v="0.16556291390728475"/>
    <n v="0.42857142857142838"/>
    <n v="0.29706717123935655"/>
    <n v="47"/>
    <n v="22"/>
    <n v="0.46808510638297873"/>
  </r>
  <r>
    <x v="12"/>
    <s v="(s)  Robert Bednarczyk"/>
    <n v="3.21"/>
    <n v="0.17899999999999999"/>
    <n v="7.8366445916114788E-2"/>
    <n v="0.52709359605911321"/>
    <n v="0.30273002098761398"/>
    <n v="31"/>
    <n v="14"/>
    <n v="0.45161290322580644"/>
  </r>
  <r>
    <x v="7"/>
    <s v="(s) Eric C"/>
    <n v="3.64"/>
    <n v="0.186"/>
    <n v="0.12582781456953643"/>
    <n v="0.4926108374384236"/>
    <n v="0.30921932600398"/>
    <n v="115"/>
    <n v="61"/>
    <n v="0.5304347826086957"/>
  </r>
  <r>
    <x v="13"/>
    <s v="(s)  Eric C Larsen"/>
    <n v="3.69"/>
    <n v="0.187"/>
    <n v="0.13134657836644589"/>
    <n v="0.48768472906403937"/>
    <n v="0.30951565371524264"/>
    <n v="124"/>
    <n v="49"/>
    <n v="0.39516129032258063"/>
  </r>
  <r>
    <x v="14"/>
    <s v="(s) Mitchel L Villereal"/>
    <n v="5.5"/>
    <n v="0.22500000000000001"/>
    <n v="0.33112582781456951"/>
    <n v="0.30049261083743817"/>
    <n v="0.31580921932600381"/>
    <n v="47"/>
    <n v="28"/>
    <n v="0.5957446808510638"/>
  </r>
  <r>
    <x v="9"/>
    <s v="(s) Amanda Brock"/>
    <n v="3.65"/>
    <n v="0.17799999999999999"/>
    <n v="0.1269315673289183"/>
    <n v="0.53201970443349755"/>
    <n v="0.32947563588120793"/>
    <n v="24"/>
    <n v="15"/>
    <n v="0.625"/>
  </r>
  <r>
    <x v="15"/>
    <s v="(s) Marcia Tan, Megan McNulty"/>
    <n v="5"/>
    <n v="0.20200000000000001"/>
    <n v="0.27593818984547458"/>
    <n v="0.41379310344827569"/>
    <n v="0.34486564664687513"/>
    <n v="60"/>
    <n v="25"/>
    <n v="0.41666666666666669"/>
  </r>
  <r>
    <x v="14"/>
    <s v="(s)  Mitchel L Villereal"/>
    <n v="3.5"/>
    <n v="0.16400000000000001"/>
    <n v="0.11037527593818984"/>
    <n v="0.60098522167487678"/>
    <n v="0.35568024880653332"/>
    <n v="43"/>
    <n v="21"/>
    <n v="0.48837209302325579"/>
  </r>
  <r>
    <x v="9"/>
    <s v="(s) Carolyn Martineau"/>
    <n v="7.5"/>
    <n v="0.253"/>
    <n v="0.55187637969094916"/>
    <n v="0.16256157635467972"/>
    <n v="0.35721897802281444"/>
    <n v="26"/>
    <n v="19"/>
    <n v="0.73076923076923073"/>
  </r>
  <r>
    <x v="16"/>
    <s v="(s)  Mahesh P Gupta, Yun Fang"/>
    <n v="5.5"/>
    <n v="0.20200000000000001"/>
    <n v="0.33112582781456951"/>
    <n v="0.41379310344827569"/>
    <n v="0.37245946563142263"/>
    <n v="26"/>
    <n v="11"/>
    <n v="0.42307692307692307"/>
  </r>
  <r>
    <x v="7"/>
    <s v="(s)"/>
    <n v="4.5599999999999996"/>
    <n v="0.17699999999999999"/>
    <n v="0.22737306843267102"/>
    <n v="0.53694581280788167"/>
    <n v="0.38215944062027635"/>
    <n v="48"/>
    <n v="18"/>
    <n v="0.375"/>
  </r>
  <r>
    <x v="9"/>
    <s v="(s) Carolyn Martineau"/>
    <n v="7.5"/>
    <n v="0.24199999999999999"/>
    <n v="0.55187637969094916"/>
    <n v="0.21674876847290636"/>
    <n v="0.38431257408192776"/>
    <n v="30"/>
    <n v="17"/>
    <n v="0.56666666666666665"/>
  </r>
  <r>
    <x v="17"/>
    <s v="(s) Trevor Price"/>
    <n v="4.9400000000000004"/>
    <n v="0.184"/>
    <n v="0.26931567328918327"/>
    <n v="0.50246305418719206"/>
    <n v="0.38588936373818766"/>
    <n v="108"/>
    <n v="50"/>
    <n v="0.46296296296296297"/>
  </r>
  <r>
    <x v="18"/>
    <s v="(s) Alfredo Garcia III, Anna Clebone, Keith Ruskin"/>
    <n v="4.17"/>
    <n v="0.16600000000000001"/>
    <n v="0.18432671081677701"/>
    <n v="0.59113300492610832"/>
    <n v="0.38772985787144265"/>
    <n v="34"/>
    <n v="15"/>
    <n v="0.44117647058823528"/>
  </r>
  <r>
    <x v="9"/>
    <s v="(s) Robert Bednarczyk"/>
    <n v="3.57"/>
    <n v="0.14499999999999999"/>
    <n v="0.11810154525386311"/>
    <n v="0.69458128078817727"/>
    <n v="0.40634141302102017"/>
    <n v="25"/>
    <n v="15"/>
    <n v="0.6"/>
  </r>
  <r>
    <x v="9"/>
    <s v="(s) Robert Bednarczyk"/>
    <n v="4.5"/>
    <n v="0.16400000000000001"/>
    <n v="0.22075055187637968"/>
    <n v="0.60098522167487678"/>
    <n v="0.41086788677562824"/>
    <n v="25"/>
    <n v="12"/>
    <n v="0.48"/>
  </r>
  <r>
    <x v="9"/>
    <s v="(s) Oscar PinedaCatalan"/>
    <n v="5.31"/>
    <n v="0.17799999999999999"/>
    <n v="0.31015452538631338"/>
    <n v="0.53201970443349755"/>
    <n v="0.42108711490990547"/>
    <n v="27"/>
    <n v="18"/>
    <n v="0.66666666666666663"/>
  </r>
  <r>
    <x v="19"/>
    <s v="(s) Navneet Bhasin"/>
    <n v="5"/>
    <n v="0.16900000000000001"/>
    <n v="0.27593818984547458"/>
    <n v="0.57635467980295552"/>
    <n v="0.42614643482421505"/>
    <n v="40"/>
    <n v="17"/>
    <n v="0.42499999999999999"/>
  </r>
  <r>
    <x v="9"/>
    <s v="(s) Amanda Brock"/>
    <n v="3.41"/>
    <n v="0.13200000000000001"/>
    <n v="0.10044150110375277"/>
    <n v="0.75862068965517238"/>
    <n v="0.42953109537946255"/>
    <n v="24"/>
    <n v="12"/>
    <n v="0.5"/>
  </r>
  <r>
    <x v="20"/>
    <s v="(s) Paul J"/>
    <n v="6.05"/>
    <n v="0.189"/>
    <n v="0.3918322295805739"/>
    <n v="0.4778325123152708"/>
    <n v="0.43483237094792238"/>
    <n v="119"/>
    <n v="42"/>
    <n v="0.35294117647058826"/>
  </r>
  <r>
    <x v="21"/>
    <s v="(s)"/>
    <n v="5.91"/>
    <n v="0.183"/>
    <n v="0.37637969094922735"/>
    <n v="0.50738916256157629"/>
    <n v="0.44188442675540185"/>
    <n v="73"/>
    <n v="44"/>
    <n v="0.60273972602739723"/>
  </r>
  <r>
    <x v="9"/>
    <s v="(s) Oscar PinedaCatalan"/>
    <n v="7.92"/>
    <n v="0.20100000000000001"/>
    <n v="0.59823399558498891"/>
    <n v="0.41871921182265992"/>
    <n v="0.50847660370382441"/>
    <n v="24"/>
    <n v="12"/>
    <n v="0.5"/>
  </r>
  <r>
    <x v="9"/>
    <s v="(s) Pliny Smith"/>
    <n v="6.14"/>
    <n v="0.159"/>
    <n v="0.40176600441501098"/>
    <n v="0.62561576354679804"/>
    <n v="0.51369088398090446"/>
    <n v="23"/>
    <n v="11"/>
    <n v="0.47826086956521741"/>
  </r>
  <r>
    <x v="9"/>
    <s v="(s) Pliny Smith"/>
    <n v="6.14"/>
    <n v="0.156"/>
    <n v="0.40176600441501098"/>
    <n v="0.64039408866995062"/>
    <n v="0.52108004654248075"/>
    <n v="21"/>
    <n v="13"/>
    <n v="0.61904761904761907"/>
  </r>
  <r>
    <x v="9"/>
    <s v="(s)  Navneet Bhasin"/>
    <n v="5.36"/>
    <n v="0.13500000000000001"/>
    <n v="0.31567328918322296"/>
    <n v="0.74384236453201957"/>
    <n v="0.52975782685762129"/>
    <n v="27"/>
    <n v="9"/>
    <n v="0.33333333333333331"/>
  </r>
  <r>
    <x v="9"/>
    <s v="(s)  Navneet Bhasin"/>
    <n v="4.17"/>
    <n v="0.108"/>
    <n v="0.18432671081677701"/>
    <n v="0.87684729064039413"/>
    <n v="0.53058700072858556"/>
    <n v="27"/>
    <n v="8"/>
    <n v="0.29629629629629628"/>
  </r>
  <r>
    <x v="9"/>
    <s v="(s)  Katelyn Butler"/>
    <n v="5.62"/>
    <n v="0.13500000000000001"/>
    <n v="0.3443708609271523"/>
    <n v="0.74384236453201957"/>
    <n v="0.54410661272958594"/>
    <n v="25"/>
    <n v="8"/>
    <n v="0.32"/>
  </r>
  <r>
    <x v="20"/>
    <s v="(s)  Paul J"/>
    <n v="6.83"/>
    <n v="0.161"/>
    <n v="0.47792494481236203"/>
    <n v="0.61576354679802947"/>
    <n v="0.54684424580519575"/>
    <n v="121"/>
    <n v="54"/>
    <n v="0.4462809917355372"/>
  </r>
  <r>
    <x v="9"/>
    <s v="(s) Megan McNulty"/>
    <n v="8"/>
    <n v="0.186"/>
    <n v="0.60706401766004414"/>
    <n v="0.4926108374384236"/>
    <n v="0.54983742754923393"/>
    <n v="27"/>
    <n v="11"/>
    <n v="0.40740740740740738"/>
  </r>
  <r>
    <x v="9"/>
    <s v="(s)  Megan McNulty"/>
    <n v="7.5"/>
    <n v="0.17299999999999999"/>
    <n v="0.55187637969094916"/>
    <n v="0.55665024630541871"/>
    <n v="0.55426331299818399"/>
    <n v="27"/>
    <n v="11"/>
    <n v="0.40740740740740738"/>
  </r>
  <r>
    <x v="9"/>
    <s v="(s) Oscar PinedaCatalan"/>
    <n v="6.35"/>
    <n v="0.14199999999999999"/>
    <n v="0.42494481236203085"/>
    <n v="0.70935960591133007"/>
    <n v="0.56715220913668052"/>
    <n v="27"/>
    <n v="15"/>
    <n v="0.55555555555555558"/>
  </r>
  <r>
    <x v="9"/>
    <s v="(s) Megan McNulty"/>
    <n v="8.27"/>
    <n v="0.18"/>
    <n v="0.63686534216335533"/>
    <n v="0.52216748768472909"/>
    <n v="0.57951641492404216"/>
    <n v="24"/>
    <n v="15"/>
    <n v="0.625"/>
  </r>
  <r>
    <x v="22"/>
    <s v="(s)  Neil H Shubin"/>
    <n v="8.43"/>
    <n v="0.17499999999999999"/>
    <n v="0.65452538631346568"/>
    <n v="0.54679802955665024"/>
    <n v="0.60066170793505802"/>
    <n v="66"/>
    <n v="28"/>
    <n v="0.42424242424242425"/>
  </r>
  <r>
    <x v="9"/>
    <s v="(s) Pliny Smith"/>
    <n v="8"/>
    <n v="0.158"/>
    <n v="0.60706401766004414"/>
    <n v="0.63054187192118216"/>
    <n v="0.61880294479061315"/>
    <n v="17"/>
    <n v="11"/>
    <n v="0.6470588235294118"/>
  </r>
  <r>
    <x v="9"/>
    <s v="(s) Oscar PinedaCatalan"/>
    <n v="7.5"/>
    <n v="0.14599999999999999"/>
    <n v="0.55187637969094916"/>
    <n v="0.68965517241379315"/>
    <n v="0.62076577605237115"/>
    <n v="26"/>
    <n v="15"/>
    <n v="0.57692307692307687"/>
  </r>
  <r>
    <x v="7"/>
    <s v="(s) Alison"/>
    <n v="7.07"/>
    <n v="0.13"/>
    <n v="0.50441501103752762"/>
    <n v="0.76847290640394084"/>
    <n v="0.63644395872073423"/>
    <n v="39"/>
    <n v="25"/>
    <n v="0.64102564102564108"/>
  </r>
  <r>
    <x v="19"/>
    <s v="(s) Navneet Bhasin"/>
    <n v="5.74"/>
    <n v="0.1"/>
    <n v="0.35761589403973509"/>
    <n v="0.91625615763546797"/>
    <n v="0.63693602583760156"/>
    <n v="37"/>
    <n v="19"/>
    <n v="0.51351351351351349"/>
  </r>
  <r>
    <x v="17"/>
    <s v="(s) Trevor Price"/>
    <n v="5"/>
    <n v="8.3000000000000004E-2"/>
    <n v="0.27593818984547458"/>
    <n v="1"/>
    <n v="0.63796909492273723"/>
    <n v="12"/>
    <n v="5"/>
    <n v="0.41666666666666669"/>
  </r>
  <r>
    <x v="9"/>
    <s v="(s)  Alison Hunter"/>
    <n v="8"/>
    <n v="0.14399999999999999"/>
    <n v="0.60706401766004414"/>
    <n v="0.69950738916256161"/>
    <n v="0.65328570341130288"/>
    <n v="34"/>
    <n v="10"/>
    <n v="0.29411764705882354"/>
  </r>
  <r>
    <x v="9"/>
    <s v="(s) Pliny Smith"/>
    <n v="9.17"/>
    <n v="0.13800000000000001"/>
    <n v="0.73620309050772625"/>
    <n v="0.72906403940886688"/>
    <n v="0.73263356495829657"/>
    <n v="20"/>
    <n v="9"/>
    <n v="0.45"/>
  </r>
  <r>
    <x v="9"/>
    <s v="(s)  Alison Hunter"/>
    <n v="11"/>
    <n v="0.17399999999999999"/>
    <n v="0.93818984547461359"/>
    <n v="0.55172413793103448"/>
    <n v="0.74495699170282403"/>
    <n v="35"/>
    <n v="21"/>
    <n v="0.6"/>
  </r>
  <r>
    <x v="7"/>
    <s v="(s) Alison"/>
    <n v="8.86"/>
    <n v="0.123"/>
    <n v="0.70198675496688734"/>
    <n v="0.80295566502463056"/>
    <n v="0.75247120999575889"/>
    <n v="42"/>
    <n v="22"/>
    <n v="0.52380952380952384"/>
  </r>
  <r>
    <x v="23"/>
    <s v="(s) Esmael Jafari Haddadian"/>
    <n v="11.56"/>
    <n v="0.17599999999999999"/>
    <n v="1"/>
    <n v="0.54187192118226601"/>
    <n v="0.77093596059113301"/>
    <n v="24"/>
    <n v="16"/>
    <n v="0.66666666666666663"/>
  </r>
  <r>
    <x v="24"/>
    <s v="(s)"/>
    <n v="11.55"/>
    <n v="0.17299999999999999"/>
    <n v="0.9988962472406181"/>
    <n v="0.55665024630541871"/>
    <n v="0.7777732467730184"/>
    <n v="89"/>
    <n v="58"/>
    <n v="0.651685393258427"/>
  </r>
  <r>
    <x v="25"/>
    <s v="(s) Esmael Jafari Haddadian"/>
    <n v="10.36"/>
    <n v="0.129"/>
    <n v="0.86754966887417206"/>
    <n v="0.77339901477832507"/>
    <n v="0.82047434182624857"/>
    <n v="25"/>
    <n v="14"/>
    <n v="0.560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C94594-D8E9-9649-B166-E15398CAFA55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D30" firstHeaderRow="0" firstDataRow="1" firstDataCol="1"/>
  <pivotFields count="10">
    <pivotField axis="axisRow" showAll="0" sortType="ascending">
      <items count="27">
        <item x="7"/>
        <item x="9"/>
        <item x="21"/>
        <item x="24"/>
        <item x="23"/>
        <item x="25"/>
        <item x="10"/>
        <item x="3"/>
        <item x="11"/>
        <item x="19"/>
        <item x="20"/>
        <item x="16"/>
        <item x="22"/>
        <item x="18"/>
        <item x="13"/>
        <item x="5"/>
        <item x="17"/>
        <item x="0"/>
        <item x="1"/>
        <item x="15"/>
        <item x="4"/>
        <item x="14"/>
        <item x="12"/>
        <item x="8"/>
        <item x="2"/>
        <item x="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numFmtId="165" showAll="0"/>
    <pivotField numFmtId="165" showAll="0"/>
    <pivotField numFmtId="165" showAll="0"/>
    <pivotField dataField="1" numFmtId="165" showAll="0"/>
    <pivotField showAll="0"/>
    <pivotField showAll="0"/>
    <pivotField numFmtId="9" showAll="0"/>
  </pivotFields>
  <rowFields count="1">
    <field x="0"/>
  </rowFields>
  <rowItems count="27">
    <i>
      <x v="17"/>
    </i>
    <i>
      <x v="24"/>
    </i>
    <i>
      <x v="7"/>
    </i>
    <i>
      <x v="18"/>
    </i>
    <i>
      <x v="15"/>
    </i>
    <i>
      <x v="25"/>
    </i>
    <i>
      <x v="20"/>
    </i>
    <i>
      <x v="23"/>
    </i>
    <i>
      <x v="6"/>
    </i>
    <i>
      <x v="8"/>
    </i>
    <i>
      <x v="22"/>
    </i>
    <i>
      <x v="14"/>
    </i>
    <i>
      <x v="21"/>
    </i>
    <i>
      <x v="19"/>
    </i>
    <i>
      <x v="11"/>
    </i>
    <i>
      <x v="13"/>
    </i>
    <i>
      <x/>
    </i>
    <i>
      <x v="2"/>
    </i>
    <i>
      <x v="10"/>
    </i>
    <i>
      <x v="1"/>
    </i>
    <i>
      <x v="16"/>
    </i>
    <i>
      <x v="9"/>
    </i>
    <i>
      <x v="12"/>
    </i>
    <i>
      <x v="4"/>
    </i>
    <i>
      <x v="3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Sentiment Score" fld="3" subtotal="average" baseField="0" baseItem="0" numFmtId="165"/>
    <dataField name="Average of Avg Hours" fld="2" subtotal="average" baseField="0" baseItem="0"/>
    <dataField name="Average of Final Difficulty Score" fld="6" subtotal="average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F22C-2E7F-7D44-9C99-D561B1974D2F}">
  <dimension ref="A3:D30"/>
  <sheetViews>
    <sheetView tabSelected="1" workbookViewId="0">
      <selection activeCell="F20" sqref="F20"/>
    </sheetView>
  </sheetViews>
  <sheetFormatPr baseColWidth="10" defaultRowHeight="16" x14ac:dyDescent="0.2"/>
  <cols>
    <col min="1" max="1" width="13" bestFit="1" customWidth="1"/>
    <col min="2" max="2" width="24" bestFit="1" customWidth="1"/>
    <col min="3" max="3" width="18.6640625" bestFit="1" customWidth="1"/>
    <col min="4" max="4" width="27.6640625" bestFit="1" customWidth="1"/>
  </cols>
  <sheetData>
    <row r="3" spans="1:4" x14ac:dyDescent="0.2">
      <c r="A3" s="5" t="s">
        <v>69</v>
      </c>
      <c r="B3" t="s">
        <v>71</v>
      </c>
      <c r="C3" t="s">
        <v>72</v>
      </c>
      <c r="D3" t="s">
        <v>73</v>
      </c>
    </row>
    <row r="4" spans="1:4" x14ac:dyDescent="0.2">
      <c r="A4" s="6" t="s">
        <v>17</v>
      </c>
      <c r="B4" s="7">
        <v>0.28599999999999998</v>
      </c>
      <c r="C4" s="8">
        <v>4.17</v>
      </c>
      <c r="D4" s="7">
        <v>9.2163355408388506E-2</v>
      </c>
    </row>
    <row r="5" spans="1:4" x14ac:dyDescent="0.2">
      <c r="A5" s="6" t="s">
        <v>35</v>
      </c>
      <c r="B5" s="7">
        <v>0.24399999999999999</v>
      </c>
      <c r="C5" s="8">
        <v>3.72</v>
      </c>
      <c r="D5" s="7">
        <v>0.17077719418436477</v>
      </c>
    </row>
    <row r="6" spans="1:4" x14ac:dyDescent="0.2">
      <c r="A6" s="6" t="s">
        <v>27</v>
      </c>
      <c r="B6" s="7">
        <v>0.223</v>
      </c>
      <c r="C6" s="8">
        <v>2.92</v>
      </c>
      <c r="D6" s="7">
        <v>0.17835122174012324</v>
      </c>
    </row>
    <row r="7" spans="1:4" x14ac:dyDescent="0.2">
      <c r="A7" s="6" t="s">
        <v>59</v>
      </c>
      <c r="B7" s="7">
        <v>0.22299999999999998</v>
      </c>
      <c r="C7" s="8">
        <v>3.645</v>
      </c>
      <c r="D7" s="7">
        <v>0.21836225926771713</v>
      </c>
    </row>
    <row r="8" spans="1:4" x14ac:dyDescent="0.2">
      <c r="A8" s="6" t="s">
        <v>12</v>
      </c>
      <c r="B8" s="7">
        <v>0.25800000000000001</v>
      </c>
      <c r="C8" s="8">
        <v>5.26</v>
      </c>
      <c r="D8" s="7">
        <v>0.22128339803608119</v>
      </c>
    </row>
    <row r="9" spans="1:4" x14ac:dyDescent="0.2">
      <c r="A9" s="6" t="s">
        <v>46</v>
      </c>
      <c r="B9" s="7">
        <v>0.251</v>
      </c>
      <c r="C9" s="8">
        <v>4.95</v>
      </c>
      <c r="D9" s="7">
        <v>0.22141660957600665</v>
      </c>
    </row>
    <row r="10" spans="1:4" x14ac:dyDescent="0.2">
      <c r="A10" s="6" t="s">
        <v>19</v>
      </c>
      <c r="B10" s="7">
        <v>0.20450000000000002</v>
      </c>
      <c r="C10" s="8">
        <v>3.125</v>
      </c>
      <c r="D10" s="7">
        <v>0.23523118998684187</v>
      </c>
    </row>
    <row r="11" spans="1:4" x14ac:dyDescent="0.2">
      <c r="A11" s="6" t="s">
        <v>37</v>
      </c>
      <c r="B11" s="7">
        <v>0.23300000000000001</v>
      </c>
      <c r="C11" s="8">
        <v>4.83</v>
      </c>
      <c r="D11" s="7">
        <v>0.25912906838917332</v>
      </c>
    </row>
    <row r="12" spans="1:4" x14ac:dyDescent="0.2">
      <c r="A12" s="6" t="s">
        <v>8</v>
      </c>
      <c r="B12" s="7">
        <v>0.2</v>
      </c>
      <c r="C12" s="8">
        <v>3.61</v>
      </c>
      <c r="D12" s="7">
        <v>0.27308093824421742</v>
      </c>
    </row>
    <row r="13" spans="1:4" x14ac:dyDescent="0.2">
      <c r="A13" s="6" t="s">
        <v>10</v>
      </c>
      <c r="B13" s="7">
        <v>0.191</v>
      </c>
      <c r="C13" s="8">
        <v>3.61</v>
      </c>
      <c r="D13" s="7">
        <v>0.29524842592894651</v>
      </c>
    </row>
    <row r="14" spans="1:4" x14ac:dyDescent="0.2">
      <c r="A14" s="6" t="s">
        <v>61</v>
      </c>
      <c r="B14" s="7">
        <v>0.17899999999999999</v>
      </c>
      <c r="C14" s="8">
        <v>3.21</v>
      </c>
      <c r="D14" s="7">
        <v>0.30273002098761398</v>
      </c>
    </row>
    <row r="15" spans="1:4" x14ac:dyDescent="0.2">
      <c r="A15" s="6" t="s">
        <v>21</v>
      </c>
      <c r="B15" s="7">
        <v>0.187</v>
      </c>
      <c r="C15" s="8">
        <v>3.69</v>
      </c>
      <c r="D15" s="7">
        <v>0.30951565371524264</v>
      </c>
    </row>
    <row r="16" spans="1:4" x14ac:dyDescent="0.2">
      <c r="A16" s="6" t="s">
        <v>53</v>
      </c>
      <c r="B16" s="7">
        <v>0.19450000000000001</v>
      </c>
      <c r="C16" s="8">
        <v>4.5</v>
      </c>
      <c r="D16" s="7">
        <v>0.33574473406626859</v>
      </c>
    </row>
    <row r="17" spans="1:4" x14ac:dyDescent="0.2">
      <c r="A17" s="6" t="s">
        <v>56</v>
      </c>
      <c r="B17" s="7">
        <v>0.20200000000000001</v>
      </c>
      <c r="C17" s="8">
        <v>5</v>
      </c>
      <c r="D17" s="7">
        <v>0.34486564664687513</v>
      </c>
    </row>
    <row r="18" spans="1:4" x14ac:dyDescent="0.2">
      <c r="A18" s="6" t="s">
        <v>25</v>
      </c>
      <c r="B18" s="7">
        <v>0.20200000000000001</v>
      </c>
      <c r="C18" s="8">
        <v>5.5</v>
      </c>
      <c r="D18" s="7">
        <v>0.37245946563142263</v>
      </c>
    </row>
    <row r="19" spans="1:4" x14ac:dyDescent="0.2">
      <c r="A19" s="6" t="s">
        <v>50</v>
      </c>
      <c r="B19" s="7">
        <v>0.16600000000000001</v>
      </c>
      <c r="C19" s="8">
        <v>4.17</v>
      </c>
      <c r="D19" s="7">
        <v>0.38772985787144265</v>
      </c>
    </row>
    <row r="20" spans="1:4" x14ac:dyDescent="0.2">
      <c r="A20" s="6" t="s">
        <v>6</v>
      </c>
      <c r="B20" s="7">
        <v>0.17183333333333337</v>
      </c>
      <c r="C20" s="8">
        <v>5.2716666666666665</v>
      </c>
      <c r="D20" s="7">
        <v>0.43416042294210816</v>
      </c>
    </row>
    <row r="21" spans="1:4" x14ac:dyDescent="0.2">
      <c r="A21" s="6" t="s">
        <v>58</v>
      </c>
      <c r="B21" s="7">
        <v>0.183</v>
      </c>
      <c r="C21" s="8">
        <v>5.91</v>
      </c>
      <c r="D21" s="7">
        <v>0.44188442675540185</v>
      </c>
    </row>
    <row r="22" spans="1:4" x14ac:dyDescent="0.2">
      <c r="A22" s="6" t="s">
        <v>33</v>
      </c>
      <c r="B22" s="7">
        <v>0.17499999999999999</v>
      </c>
      <c r="C22" s="8">
        <v>6.4399999999999995</v>
      </c>
      <c r="D22" s="7">
        <v>0.49083830837655906</v>
      </c>
    </row>
    <row r="23" spans="1:4" x14ac:dyDescent="0.2">
      <c r="A23" s="6" t="s">
        <v>14</v>
      </c>
      <c r="B23" s="7">
        <v>0.16745833333333335</v>
      </c>
      <c r="C23" s="8">
        <v>6.314166666666666</v>
      </c>
      <c r="D23" s="7">
        <v>0.50246939759385512</v>
      </c>
    </row>
    <row r="24" spans="1:4" x14ac:dyDescent="0.2">
      <c r="A24" s="6" t="s">
        <v>48</v>
      </c>
      <c r="B24" s="7">
        <v>0.13350000000000001</v>
      </c>
      <c r="C24" s="8">
        <v>4.9700000000000006</v>
      </c>
      <c r="D24" s="7">
        <v>0.51192922933046248</v>
      </c>
    </row>
    <row r="25" spans="1:4" x14ac:dyDescent="0.2">
      <c r="A25" s="6" t="s">
        <v>41</v>
      </c>
      <c r="B25" s="7">
        <v>0.13450000000000001</v>
      </c>
      <c r="C25" s="8">
        <v>5.37</v>
      </c>
      <c r="D25" s="7">
        <v>0.53154123033090828</v>
      </c>
    </row>
    <row r="26" spans="1:4" x14ac:dyDescent="0.2">
      <c r="A26" s="6" t="s">
        <v>23</v>
      </c>
      <c r="B26" s="7">
        <v>0.17499999999999999</v>
      </c>
      <c r="C26" s="8">
        <v>8.43</v>
      </c>
      <c r="D26" s="7">
        <v>0.60066170793505802</v>
      </c>
    </row>
    <row r="27" spans="1:4" x14ac:dyDescent="0.2">
      <c r="A27" s="6" t="s">
        <v>29</v>
      </c>
      <c r="B27" s="7">
        <v>0.17599999999999999</v>
      </c>
      <c r="C27" s="8">
        <v>11.56</v>
      </c>
      <c r="D27" s="7">
        <v>0.77093596059113301</v>
      </c>
    </row>
    <row r="28" spans="1:4" x14ac:dyDescent="0.2">
      <c r="A28" s="6" t="s">
        <v>55</v>
      </c>
      <c r="B28" s="7">
        <v>0.17299999999999999</v>
      </c>
      <c r="C28" s="8">
        <v>11.55</v>
      </c>
      <c r="D28" s="7">
        <v>0.7777732467730184</v>
      </c>
    </row>
    <row r="29" spans="1:4" x14ac:dyDescent="0.2">
      <c r="A29" s="6" t="s">
        <v>64</v>
      </c>
      <c r="B29" s="7">
        <v>0.129</v>
      </c>
      <c r="C29" s="8">
        <v>10.36</v>
      </c>
      <c r="D29" s="7">
        <v>0.82047434182624857</v>
      </c>
    </row>
    <row r="30" spans="1:4" x14ac:dyDescent="0.2">
      <c r="A30" s="6" t="s">
        <v>70</v>
      </c>
      <c r="B30" s="7">
        <v>0.18063333333333331</v>
      </c>
      <c r="C30" s="8">
        <v>5.6953333333333349</v>
      </c>
      <c r="D30" s="7">
        <v>0.43586670871439076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FC6E5-11C0-B440-BD22-15BDE0B0AB3E}">
  <dimension ref="A1:J61"/>
  <sheetViews>
    <sheetView zoomScale="75" workbookViewId="0">
      <selection activeCell="F8" sqref="F8"/>
    </sheetView>
  </sheetViews>
  <sheetFormatPr baseColWidth="10" defaultRowHeight="22" x14ac:dyDescent="0.3"/>
  <cols>
    <col min="1" max="1" width="26.33203125" style="2" customWidth="1"/>
    <col min="2" max="2" width="21.6640625" style="2" customWidth="1"/>
    <col min="3" max="3" width="20.5" style="2" customWidth="1"/>
    <col min="4" max="7" width="25.6640625" style="2" customWidth="1"/>
    <col min="8" max="8" width="20.83203125" style="2" customWidth="1"/>
    <col min="9" max="9" width="22.1640625" style="2" customWidth="1"/>
    <col min="10" max="10" width="30.6640625" style="2" customWidth="1"/>
    <col min="11" max="16384" width="10.83203125" style="2"/>
  </cols>
  <sheetData>
    <row r="1" spans="1:10" s="1" customFormat="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65</v>
      </c>
      <c r="F1" s="1" t="s">
        <v>66</v>
      </c>
      <c r="G1" s="1" t="s">
        <v>67</v>
      </c>
      <c r="H1" s="1" t="s">
        <v>2</v>
      </c>
      <c r="I1" s="1" t="s">
        <v>3</v>
      </c>
      <c r="J1" s="1" t="s">
        <v>68</v>
      </c>
    </row>
    <row r="2" spans="1:10" x14ac:dyDescent="0.3">
      <c r="A2" s="2" t="s">
        <v>17</v>
      </c>
      <c r="B2" s="2" t="s">
        <v>18</v>
      </c>
      <c r="C2" s="2">
        <v>4.17</v>
      </c>
      <c r="D2" s="4">
        <v>0.28599999999999998</v>
      </c>
      <c r="E2" s="4">
        <f>(C2 - MIN(C:C)) / (MAX(C:C) - MIN(C:C))</f>
        <v>0.18432671081677701</v>
      </c>
      <c r="F2" s="4">
        <f>1 - ((D2 - MIN(D:D)) / (MAX(D:D) - MIN(D:D)))</f>
        <v>0</v>
      </c>
      <c r="G2" s="4">
        <f>0.5 *E2+0.5*F2</f>
        <v>9.2163355408388506E-2</v>
      </c>
      <c r="H2" s="2">
        <v>32</v>
      </c>
      <c r="I2" s="2">
        <v>15</v>
      </c>
      <c r="J2" s="3">
        <f>I2/H2</f>
        <v>0.46875</v>
      </c>
    </row>
    <row r="3" spans="1:10" x14ac:dyDescent="0.3">
      <c r="A3" s="2" t="s">
        <v>59</v>
      </c>
      <c r="B3" s="2" t="s">
        <v>22</v>
      </c>
      <c r="C3" s="2">
        <v>3.36</v>
      </c>
      <c r="D3" s="4">
        <v>0.24099999999999999</v>
      </c>
      <c r="E3" s="4">
        <f>(C3 - MIN(C:C)) / (MAX(C:C) - MIN(C:C))</f>
        <v>9.4922737306843252E-2</v>
      </c>
      <c r="F3" s="4">
        <f>1 - ((D3 - MIN(D:D)) / (MAX(D:D) - MIN(D:D)))</f>
        <v>0.22167487684729059</v>
      </c>
      <c r="G3" s="4">
        <f>0.5 *E3+0.5*F3</f>
        <v>0.15829880707706692</v>
      </c>
      <c r="H3" s="2">
        <v>106</v>
      </c>
      <c r="I3" s="2">
        <v>37</v>
      </c>
      <c r="J3" s="3">
        <f>I3/H3</f>
        <v>0.34905660377358488</v>
      </c>
    </row>
    <row r="4" spans="1:10" x14ac:dyDescent="0.3">
      <c r="A4" s="2" t="s">
        <v>35</v>
      </c>
      <c r="B4" s="2" t="s">
        <v>36</v>
      </c>
      <c r="C4" s="2">
        <v>3.72</v>
      </c>
      <c r="D4" s="4">
        <v>0.24399999999999999</v>
      </c>
      <c r="E4" s="4">
        <f>(C4 - MIN(C:C)) / (MAX(C:C) - MIN(C:C))</f>
        <v>0.13465783664459163</v>
      </c>
      <c r="F4" s="4">
        <f>1 - ((D4 - MIN(D:D)) / (MAX(D:D) - MIN(D:D)))</f>
        <v>0.2068965517241379</v>
      </c>
      <c r="G4" s="4">
        <f>0.5 *E4+0.5*F4</f>
        <v>0.17077719418436477</v>
      </c>
      <c r="H4" s="2">
        <v>133</v>
      </c>
      <c r="I4" s="2">
        <v>49</v>
      </c>
      <c r="J4" s="3">
        <f>I4/H4</f>
        <v>0.36842105263157893</v>
      </c>
    </row>
    <row r="5" spans="1:10" x14ac:dyDescent="0.3">
      <c r="A5" s="2" t="s">
        <v>27</v>
      </c>
      <c r="B5" s="2" t="s">
        <v>28</v>
      </c>
      <c r="C5" s="2">
        <v>2.92</v>
      </c>
      <c r="D5" s="4">
        <v>0.223</v>
      </c>
      <c r="E5" s="4">
        <f>(C5 - MIN(C:C)) / (MAX(C:C) - MIN(C:C))</f>
        <v>4.6357615894039722E-2</v>
      </c>
      <c r="F5" s="4">
        <f>1 - ((D5 - MIN(D:D)) / (MAX(D:D) - MIN(D:D)))</f>
        <v>0.31034482758620674</v>
      </c>
      <c r="G5" s="4">
        <f>0.5 *E5+0.5*F5</f>
        <v>0.17835122174012324</v>
      </c>
      <c r="H5" s="2">
        <v>28</v>
      </c>
      <c r="I5" s="2">
        <v>15</v>
      </c>
      <c r="J5" s="3">
        <f>I5/H5</f>
        <v>0.5357142857142857</v>
      </c>
    </row>
    <row r="6" spans="1:10" x14ac:dyDescent="0.3">
      <c r="A6" s="2" t="s">
        <v>19</v>
      </c>
      <c r="B6" s="2" t="s">
        <v>11</v>
      </c>
      <c r="C6" s="2">
        <v>2.5</v>
      </c>
      <c r="D6" s="4">
        <v>0.2</v>
      </c>
      <c r="E6" s="4">
        <f>(C6 - MIN(C:C)) / (MAX(C:C) - MIN(C:C))</f>
        <v>0</v>
      </c>
      <c r="F6" s="4">
        <f>1 - ((D6 - MIN(D:D)) / (MAX(D:D) - MIN(D:D)))</f>
        <v>0.42364532019704415</v>
      </c>
      <c r="G6" s="4">
        <f>0.5 *E6+0.5*F6</f>
        <v>0.21182266009852208</v>
      </c>
      <c r="H6" s="2">
        <v>36</v>
      </c>
      <c r="I6" s="2">
        <v>15</v>
      </c>
      <c r="J6" s="3">
        <f>I6/H6</f>
        <v>0.41666666666666669</v>
      </c>
    </row>
    <row r="7" spans="1:10" x14ac:dyDescent="0.3">
      <c r="A7" s="2" t="s">
        <v>12</v>
      </c>
      <c r="B7" s="2" t="s">
        <v>11</v>
      </c>
      <c r="C7" s="2">
        <v>5.26</v>
      </c>
      <c r="D7" s="4">
        <v>0.25800000000000001</v>
      </c>
      <c r="E7" s="4">
        <f>(C7 - MIN(C:C)) / (MAX(C:C) - MIN(C:C))</f>
        <v>0.30463576158940392</v>
      </c>
      <c r="F7" s="4">
        <f>1 - ((D7 - MIN(D:D)) / (MAX(D:D) - MIN(D:D)))</f>
        <v>0.13793103448275845</v>
      </c>
      <c r="G7" s="4">
        <f>0.5 *E7+0.5*F7</f>
        <v>0.22128339803608119</v>
      </c>
      <c r="H7" s="2">
        <v>55</v>
      </c>
      <c r="I7" s="2">
        <v>31</v>
      </c>
      <c r="J7" s="3">
        <f>I7/H7</f>
        <v>0.5636363636363636</v>
      </c>
    </row>
    <row r="8" spans="1:10" x14ac:dyDescent="0.3">
      <c r="A8" s="2" t="s">
        <v>46</v>
      </c>
      <c r="B8" s="2" t="s">
        <v>47</v>
      </c>
      <c r="C8" s="2">
        <v>4.95</v>
      </c>
      <c r="D8" s="4">
        <v>0.251</v>
      </c>
      <c r="E8" s="4">
        <f>(C8 - MIN(C:C)) / (MAX(C:C) - MIN(C:C))</f>
        <v>0.27041942604856511</v>
      </c>
      <c r="F8" s="4">
        <f>1 - ((D8 - MIN(D:D)) / (MAX(D:D) - MIN(D:D)))</f>
        <v>0.17241379310344818</v>
      </c>
      <c r="G8" s="4">
        <f>0.5 *E8+0.5*F8</f>
        <v>0.22141660957600665</v>
      </c>
      <c r="H8" s="2">
        <v>112</v>
      </c>
      <c r="I8" s="2">
        <v>60</v>
      </c>
      <c r="J8" s="3">
        <f>I8/H8</f>
        <v>0.5357142857142857</v>
      </c>
    </row>
    <row r="9" spans="1:10" x14ac:dyDescent="0.3">
      <c r="A9" s="2" t="s">
        <v>6</v>
      </c>
      <c r="B9" s="2" t="s">
        <v>7</v>
      </c>
      <c r="C9" s="2">
        <v>3.5</v>
      </c>
      <c r="D9" s="4">
        <v>0.216</v>
      </c>
      <c r="E9" s="4">
        <f>(C9 - MIN(C:C)) / (MAX(C:C) - MIN(C:C))</f>
        <v>0.11037527593818984</v>
      </c>
      <c r="F9" s="4">
        <f>1 - ((D9 - MIN(D:D)) / (MAX(D:D) - MIN(D:D)))</f>
        <v>0.34482758620689635</v>
      </c>
      <c r="G9" s="4">
        <f>0.5 *E9+0.5*F9</f>
        <v>0.2276014310725431</v>
      </c>
      <c r="H9" s="2">
        <v>46</v>
      </c>
      <c r="I9" s="2">
        <v>16</v>
      </c>
      <c r="J9" s="3">
        <f>I9/H9</f>
        <v>0.34782608695652173</v>
      </c>
    </row>
    <row r="10" spans="1:10" x14ac:dyDescent="0.3">
      <c r="A10" s="2" t="s">
        <v>19</v>
      </c>
      <c r="B10" s="2" t="s">
        <v>11</v>
      </c>
      <c r="C10" s="2">
        <v>3.75</v>
      </c>
      <c r="D10" s="4">
        <v>0.20899999999999999</v>
      </c>
      <c r="E10" s="4">
        <f>(C10 - MIN(C:C)) / (MAX(C:C) - MIN(C:C))</f>
        <v>0.13796909492273729</v>
      </c>
      <c r="F10" s="4">
        <f>1 - ((D10 - MIN(D:D)) / (MAX(D:D) - MIN(D:D)))</f>
        <v>0.37931034482758608</v>
      </c>
      <c r="G10" s="4">
        <f>0.5 *E10+0.5*F10</f>
        <v>0.25863971987516166</v>
      </c>
      <c r="H10" s="2">
        <v>15</v>
      </c>
      <c r="I10" s="2">
        <v>12</v>
      </c>
      <c r="J10" s="3">
        <f>I10/H10</f>
        <v>0.8</v>
      </c>
    </row>
    <row r="11" spans="1:10" x14ac:dyDescent="0.3">
      <c r="A11" s="2" t="s">
        <v>37</v>
      </c>
      <c r="B11" s="2" t="s">
        <v>18</v>
      </c>
      <c r="C11" s="2">
        <v>4.83</v>
      </c>
      <c r="D11" s="4">
        <v>0.23300000000000001</v>
      </c>
      <c r="E11" s="4">
        <f>(C11 - MIN(C:C)) / (MAX(C:C) - MIN(C:C))</f>
        <v>0.25717439293598232</v>
      </c>
      <c r="F11" s="4">
        <f>1 - ((D11 - MIN(D:D)) / (MAX(D:D) - MIN(D:D)))</f>
        <v>0.26108374384236432</v>
      </c>
      <c r="G11" s="4">
        <f>0.5 *E11+0.5*F11</f>
        <v>0.25912906838917332</v>
      </c>
      <c r="H11" s="2">
        <v>30</v>
      </c>
      <c r="I11" s="2">
        <v>17</v>
      </c>
      <c r="J11" s="3">
        <f>I11/H11</f>
        <v>0.56666666666666665</v>
      </c>
    </row>
    <row r="12" spans="1:10" x14ac:dyDescent="0.3">
      <c r="A12" s="2" t="s">
        <v>14</v>
      </c>
      <c r="B12" s="2" t="s">
        <v>45</v>
      </c>
      <c r="C12" s="2">
        <v>3.21</v>
      </c>
      <c r="D12" s="4">
        <v>0.19600000000000001</v>
      </c>
      <c r="E12" s="4">
        <f>(C12 - MIN(C:C)) / (MAX(C:C) - MIN(C:C))</f>
        <v>7.8366445916114788E-2</v>
      </c>
      <c r="F12" s="4">
        <f>1 - ((D12 - MIN(D:D)) / (MAX(D:D) - MIN(D:D)))</f>
        <v>0.44334975369458118</v>
      </c>
      <c r="G12" s="4">
        <f>0.5 *E12+0.5*F12</f>
        <v>0.26085809980534796</v>
      </c>
      <c r="H12" s="2">
        <v>23</v>
      </c>
      <c r="I12" s="2">
        <v>14</v>
      </c>
      <c r="J12" s="3">
        <f>I12/H12</f>
        <v>0.60869565217391308</v>
      </c>
    </row>
    <row r="13" spans="1:10" x14ac:dyDescent="0.3">
      <c r="A13" s="2" t="s">
        <v>8</v>
      </c>
      <c r="B13" s="2" t="s">
        <v>9</v>
      </c>
      <c r="C13" s="2">
        <v>3.61</v>
      </c>
      <c r="D13" s="4">
        <v>0.2</v>
      </c>
      <c r="E13" s="4">
        <f>(C13 - MIN(C:C)) / (MAX(C:C) - MIN(C:C))</f>
        <v>0.1225165562913907</v>
      </c>
      <c r="F13" s="4">
        <f>1 - ((D13 - MIN(D:D)) / (MAX(D:D) - MIN(D:D)))</f>
        <v>0.42364532019704415</v>
      </c>
      <c r="G13" s="4">
        <f>0.5 *E13+0.5*F13</f>
        <v>0.27308093824421742</v>
      </c>
      <c r="H13" s="2">
        <v>24</v>
      </c>
      <c r="I13" s="2">
        <v>18</v>
      </c>
      <c r="J13" s="3">
        <f>I13/H13</f>
        <v>0.75</v>
      </c>
    </row>
    <row r="14" spans="1:10" x14ac:dyDescent="0.3">
      <c r="A14" s="2" t="s">
        <v>59</v>
      </c>
      <c r="B14" s="2" t="s">
        <v>60</v>
      </c>
      <c r="C14" s="2">
        <v>3.93</v>
      </c>
      <c r="D14" s="4">
        <v>0.20499999999999999</v>
      </c>
      <c r="E14" s="4">
        <f>(C14 - MIN(C:C)) / (MAX(C:C) - MIN(C:C))</f>
        <v>0.15783664459161148</v>
      </c>
      <c r="F14" s="4">
        <f>1 - ((D14 - MIN(D:D)) / (MAX(D:D) - MIN(D:D)))</f>
        <v>0.39901477832512311</v>
      </c>
      <c r="G14" s="4">
        <f>0.5 *E14+0.5*F14</f>
        <v>0.27842571145836731</v>
      </c>
      <c r="H14" s="2">
        <v>66</v>
      </c>
      <c r="I14" s="2">
        <v>32</v>
      </c>
      <c r="J14" s="3">
        <f>I14/H14</f>
        <v>0.48484848484848486</v>
      </c>
    </row>
    <row r="15" spans="1:10" x14ac:dyDescent="0.3">
      <c r="A15" s="2" t="s">
        <v>14</v>
      </c>
      <c r="B15" s="2" t="s">
        <v>16</v>
      </c>
      <c r="C15" s="2">
        <v>3.75</v>
      </c>
      <c r="D15" s="4">
        <v>0.19600000000000001</v>
      </c>
      <c r="E15" s="4">
        <f>(C15 - MIN(C:C)) / (MAX(C:C) - MIN(C:C))</f>
        <v>0.13796909492273729</v>
      </c>
      <c r="F15" s="4">
        <f>1 - ((D15 - MIN(D:D)) / (MAX(D:D) - MIN(D:D)))</f>
        <v>0.44334975369458118</v>
      </c>
      <c r="G15" s="4">
        <f>0.5 *E15+0.5*F15</f>
        <v>0.29065942430865921</v>
      </c>
      <c r="H15" s="2">
        <v>25</v>
      </c>
      <c r="I15" s="2">
        <v>15</v>
      </c>
      <c r="J15" s="3">
        <f>I15/H15</f>
        <v>0.6</v>
      </c>
    </row>
    <row r="16" spans="1:10" x14ac:dyDescent="0.3">
      <c r="A16" s="2" t="s">
        <v>10</v>
      </c>
      <c r="B16" s="2" t="s">
        <v>11</v>
      </c>
      <c r="C16" s="2">
        <v>3.61</v>
      </c>
      <c r="D16" s="4">
        <v>0.191</v>
      </c>
      <c r="E16" s="4">
        <f>(C16 - MIN(C:C)) / (MAX(C:C) - MIN(C:C))</f>
        <v>0.1225165562913907</v>
      </c>
      <c r="F16" s="4">
        <f>1 - ((D16 - MIN(D:D)) / (MAX(D:D) - MIN(D:D)))</f>
        <v>0.46798029556650234</v>
      </c>
      <c r="G16" s="4">
        <f>0.5 *E16+0.5*F16</f>
        <v>0.29524842592894651</v>
      </c>
      <c r="H16" s="2">
        <v>48</v>
      </c>
      <c r="I16" s="2">
        <v>21</v>
      </c>
      <c r="J16" s="3">
        <f>I16/H16</f>
        <v>0.4375</v>
      </c>
    </row>
    <row r="17" spans="1:10" x14ac:dyDescent="0.3">
      <c r="A17" s="2" t="s">
        <v>6</v>
      </c>
      <c r="B17" s="2" t="s">
        <v>7</v>
      </c>
      <c r="C17" s="2">
        <v>4</v>
      </c>
      <c r="D17" s="4">
        <v>0.19900000000000001</v>
      </c>
      <c r="E17" s="4">
        <f>(C17 - MIN(C:C)) / (MAX(C:C) - MIN(C:C))</f>
        <v>0.16556291390728475</v>
      </c>
      <c r="F17" s="4">
        <f>1 - ((D17 - MIN(D:D)) / (MAX(D:D) - MIN(D:D)))</f>
        <v>0.42857142857142838</v>
      </c>
      <c r="G17" s="4">
        <f>0.5 *E17+0.5*F17</f>
        <v>0.29706717123935655</v>
      </c>
      <c r="H17" s="2">
        <v>47</v>
      </c>
      <c r="I17" s="2">
        <v>22</v>
      </c>
      <c r="J17" s="3">
        <f>I17/H17</f>
        <v>0.46808510638297873</v>
      </c>
    </row>
    <row r="18" spans="1:10" x14ac:dyDescent="0.3">
      <c r="A18" s="2" t="s">
        <v>61</v>
      </c>
      <c r="B18" s="2" t="s">
        <v>62</v>
      </c>
      <c r="C18" s="2">
        <v>3.21</v>
      </c>
      <c r="D18" s="4">
        <v>0.17899999999999999</v>
      </c>
      <c r="E18" s="4">
        <f>(C18 - MIN(C:C)) / (MAX(C:C) - MIN(C:C))</f>
        <v>7.8366445916114788E-2</v>
      </c>
      <c r="F18" s="4">
        <f>1 - ((D18 - MIN(D:D)) / (MAX(D:D) - MIN(D:D)))</f>
        <v>0.52709359605911321</v>
      </c>
      <c r="G18" s="4">
        <f>0.5 *E18+0.5*F18</f>
        <v>0.30273002098761398</v>
      </c>
      <c r="H18" s="2">
        <v>31</v>
      </c>
      <c r="I18" s="2">
        <v>14</v>
      </c>
      <c r="J18" s="3">
        <f>I18/H18</f>
        <v>0.45161290322580644</v>
      </c>
    </row>
    <row r="19" spans="1:10" x14ac:dyDescent="0.3">
      <c r="A19" s="2" t="s">
        <v>6</v>
      </c>
      <c r="B19" s="2" t="s">
        <v>52</v>
      </c>
      <c r="C19" s="2">
        <v>3.64</v>
      </c>
      <c r="D19" s="4">
        <v>0.186</v>
      </c>
      <c r="E19" s="4">
        <f>(C19 - MIN(C:C)) / (MAX(C:C) - MIN(C:C))</f>
        <v>0.12582781456953643</v>
      </c>
      <c r="F19" s="4">
        <f>1 - ((D19 - MIN(D:D)) / (MAX(D:D) - MIN(D:D)))</f>
        <v>0.4926108374384236</v>
      </c>
      <c r="G19" s="4">
        <f>0.5 *E19+0.5*F19</f>
        <v>0.30921932600398</v>
      </c>
      <c r="H19" s="2">
        <v>115</v>
      </c>
      <c r="I19" s="2">
        <v>61</v>
      </c>
      <c r="J19" s="3">
        <f>I19/H19</f>
        <v>0.5304347826086957</v>
      </c>
    </row>
    <row r="20" spans="1:10" x14ac:dyDescent="0.3">
      <c r="A20" s="2" t="s">
        <v>21</v>
      </c>
      <c r="B20" s="2" t="s">
        <v>22</v>
      </c>
      <c r="C20" s="2">
        <v>3.69</v>
      </c>
      <c r="D20" s="4">
        <v>0.187</v>
      </c>
      <c r="E20" s="4">
        <f>(C20 - MIN(C:C)) / (MAX(C:C) - MIN(C:C))</f>
        <v>0.13134657836644589</v>
      </c>
      <c r="F20" s="4">
        <f>1 - ((D20 - MIN(D:D)) / (MAX(D:D) - MIN(D:D)))</f>
        <v>0.48768472906403937</v>
      </c>
      <c r="G20" s="4">
        <f>0.5 *E20+0.5*F20</f>
        <v>0.30951565371524264</v>
      </c>
      <c r="H20" s="2">
        <v>124</v>
      </c>
      <c r="I20" s="2">
        <v>49</v>
      </c>
      <c r="J20" s="3">
        <f>I20/H20</f>
        <v>0.39516129032258063</v>
      </c>
    </row>
    <row r="21" spans="1:10" x14ac:dyDescent="0.3">
      <c r="A21" s="2" t="s">
        <v>53</v>
      </c>
      <c r="B21" s="2" t="s">
        <v>63</v>
      </c>
      <c r="C21" s="2">
        <v>5.5</v>
      </c>
      <c r="D21" s="4">
        <v>0.22500000000000001</v>
      </c>
      <c r="E21" s="4">
        <f>(C21 - MIN(C:C)) / (MAX(C:C) - MIN(C:C))</f>
        <v>0.33112582781456951</v>
      </c>
      <c r="F21" s="4">
        <f>1 - ((D21 - MIN(D:D)) / (MAX(D:D) - MIN(D:D)))</f>
        <v>0.30049261083743817</v>
      </c>
      <c r="G21" s="4">
        <f>0.5 *E21+0.5*F21</f>
        <v>0.31580921932600381</v>
      </c>
      <c r="H21" s="2">
        <v>47</v>
      </c>
      <c r="I21" s="2">
        <v>28</v>
      </c>
      <c r="J21" s="3">
        <f>I21/H21</f>
        <v>0.5957446808510638</v>
      </c>
    </row>
    <row r="22" spans="1:10" x14ac:dyDescent="0.3">
      <c r="A22" s="2" t="s">
        <v>14</v>
      </c>
      <c r="B22" s="2" t="s">
        <v>32</v>
      </c>
      <c r="C22" s="2">
        <v>3.65</v>
      </c>
      <c r="D22" s="4">
        <v>0.17799999999999999</v>
      </c>
      <c r="E22" s="4">
        <f>(C22 - MIN(C:C)) / (MAX(C:C) - MIN(C:C))</f>
        <v>0.1269315673289183</v>
      </c>
      <c r="F22" s="4">
        <f>1 - ((D22 - MIN(D:D)) / (MAX(D:D) - MIN(D:D)))</f>
        <v>0.53201970443349755</v>
      </c>
      <c r="G22" s="4">
        <f>0.5 *E22+0.5*F22</f>
        <v>0.32947563588120793</v>
      </c>
      <c r="H22" s="2">
        <v>24</v>
      </c>
      <c r="I22" s="2">
        <v>15</v>
      </c>
      <c r="J22" s="3">
        <f>I22/H22</f>
        <v>0.625</v>
      </c>
    </row>
    <row r="23" spans="1:10" x14ac:dyDescent="0.3">
      <c r="A23" s="2" t="s">
        <v>56</v>
      </c>
      <c r="B23" s="2" t="s">
        <v>57</v>
      </c>
      <c r="C23" s="2">
        <v>5</v>
      </c>
      <c r="D23" s="4">
        <v>0.20200000000000001</v>
      </c>
      <c r="E23" s="4">
        <f>(C23 - MIN(C:C)) / (MAX(C:C) - MIN(C:C))</f>
        <v>0.27593818984547458</v>
      </c>
      <c r="F23" s="4">
        <f>1 - ((D23 - MIN(D:D)) / (MAX(D:D) - MIN(D:D)))</f>
        <v>0.41379310344827569</v>
      </c>
      <c r="G23" s="4">
        <f>0.5 *E23+0.5*F23</f>
        <v>0.34486564664687513</v>
      </c>
      <c r="H23" s="2">
        <v>60</v>
      </c>
      <c r="I23" s="2">
        <v>25</v>
      </c>
      <c r="J23" s="3">
        <f>I23/H23</f>
        <v>0.41666666666666669</v>
      </c>
    </row>
    <row r="24" spans="1:10" x14ac:dyDescent="0.3">
      <c r="A24" s="2" t="s">
        <v>53</v>
      </c>
      <c r="B24" s="2" t="s">
        <v>54</v>
      </c>
      <c r="C24" s="2">
        <v>3.5</v>
      </c>
      <c r="D24" s="4">
        <v>0.16400000000000001</v>
      </c>
      <c r="E24" s="4">
        <f>(C24 - MIN(C:C)) / (MAX(C:C) - MIN(C:C))</f>
        <v>0.11037527593818984</v>
      </c>
      <c r="F24" s="4">
        <f>1 - ((D24 - MIN(D:D)) / (MAX(D:D) - MIN(D:D)))</f>
        <v>0.60098522167487678</v>
      </c>
      <c r="G24" s="4">
        <f>0.5 *E24+0.5*F24</f>
        <v>0.35568024880653332</v>
      </c>
      <c r="H24" s="2">
        <v>43</v>
      </c>
      <c r="I24" s="2">
        <v>21</v>
      </c>
      <c r="J24" s="3">
        <f>I24/H24</f>
        <v>0.48837209302325579</v>
      </c>
    </row>
    <row r="25" spans="1:10" x14ac:dyDescent="0.3">
      <c r="A25" s="2" t="s">
        <v>14</v>
      </c>
      <c r="B25" s="2" t="s">
        <v>31</v>
      </c>
      <c r="C25" s="2">
        <v>7.5</v>
      </c>
      <c r="D25" s="4">
        <v>0.253</v>
      </c>
      <c r="E25" s="4">
        <f>(C25 - MIN(C:C)) / (MAX(C:C) - MIN(C:C))</f>
        <v>0.55187637969094916</v>
      </c>
      <c r="F25" s="4">
        <f>1 - ((D25 - MIN(D:D)) / (MAX(D:D) - MIN(D:D)))</f>
        <v>0.16256157635467972</v>
      </c>
      <c r="G25" s="4">
        <f>0.5 *E25+0.5*F25</f>
        <v>0.35721897802281444</v>
      </c>
      <c r="H25" s="2">
        <v>26</v>
      </c>
      <c r="I25" s="2">
        <v>19</v>
      </c>
      <c r="J25" s="3">
        <f>I25/H25</f>
        <v>0.73076923076923073</v>
      </c>
    </row>
    <row r="26" spans="1:10" x14ac:dyDescent="0.3">
      <c r="A26" s="2" t="s">
        <v>25</v>
      </c>
      <c r="B26" s="2" t="s">
        <v>26</v>
      </c>
      <c r="C26" s="2">
        <v>5.5</v>
      </c>
      <c r="D26" s="4">
        <v>0.20200000000000001</v>
      </c>
      <c r="E26" s="4">
        <f>(C26 - MIN(C:C)) / (MAX(C:C) - MIN(C:C))</f>
        <v>0.33112582781456951</v>
      </c>
      <c r="F26" s="4">
        <f>1 - ((D26 - MIN(D:D)) / (MAX(D:D) - MIN(D:D)))</f>
        <v>0.41379310344827569</v>
      </c>
      <c r="G26" s="4">
        <f>0.5 *E26+0.5*F26</f>
        <v>0.37245946563142263</v>
      </c>
      <c r="H26" s="2">
        <v>26</v>
      </c>
      <c r="I26" s="2">
        <v>11</v>
      </c>
      <c r="J26" s="3">
        <f>I26/H26</f>
        <v>0.42307692307692307</v>
      </c>
    </row>
    <row r="27" spans="1:10" x14ac:dyDescent="0.3">
      <c r="A27" s="2" t="s">
        <v>6</v>
      </c>
      <c r="B27" s="2" t="s">
        <v>11</v>
      </c>
      <c r="C27" s="2">
        <v>4.5599999999999996</v>
      </c>
      <c r="D27" s="4">
        <v>0.17699999999999999</v>
      </c>
      <c r="E27" s="4">
        <f>(C27 - MIN(C:C)) / (MAX(C:C) - MIN(C:C))</f>
        <v>0.22737306843267102</v>
      </c>
      <c r="F27" s="4">
        <f>1 - ((D27 - MIN(D:D)) / (MAX(D:D) - MIN(D:D)))</f>
        <v>0.53694581280788167</v>
      </c>
      <c r="G27" s="4">
        <f>0.5 *E27+0.5*F27</f>
        <v>0.38215944062027635</v>
      </c>
      <c r="H27" s="2">
        <v>48</v>
      </c>
      <c r="I27" s="2">
        <v>18</v>
      </c>
      <c r="J27" s="3">
        <f>I27/H27</f>
        <v>0.375</v>
      </c>
    </row>
    <row r="28" spans="1:10" x14ac:dyDescent="0.3">
      <c r="A28" s="2" t="s">
        <v>14</v>
      </c>
      <c r="B28" s="2" t="s">
        <v>31</v>
      </c>
      <c r="C28" s="2">
        <v>7.5</v>
      </c>
      <c r="D28" s="4">
        <v>0.24199999999999999</v>
      </c>
      <c r="E28" s="4">
        <f>(C28 - MIN(C:C)) / (MAX(C:C) - MIN(C:C))</f>
        <v>0.55187637969094916</v>
      </c>
      <c r="F28" s="4">
        <f>1 - ((D28 - MIN(D:D)) / (MAX(D:D) - MIN(D:D)))</f>
        <v>0.21674876847290636</v>
      </c>
      <c r="G28" s="4">
        <f>0.5 *E28+0.5*F28</f>
        <v>0.38431257408192776</v>
      </c>
      <c r="H28" s="2">
        <v>30</v>
      </c>
      <c r="I28" s="2">
        <v>17</v>
      </c>
      <c r="J28" s="3">
        <f>I28/H28</f>
        <v>0.56666666666666665</v>
      </c>
    </row>
    <row r="29" spans="1:10" x14ac:dyDescent="0.3">
      <c r="A29" s="2" t="s">
        <v>48</v>
      </c>
      <c r="B29" s="2" t="s">
        <v>49</v>
      </c>
      <c r="C29" s="2">
        <v>4.9400000000000004</v>
      </c>
      <c r="D29" s="4">
        <v>0.184</v>
      </c>
      <c r="E29" s="4">
        <f>(C29 - MIN(C:C)) / (MAX(C:C) - MIN(C:C))</f>
        <v>0.26931567328918327</v>
      </c>
      <c r="F29" s="4">
        <f>1 - ((D29 - MIN(D:D)) / (MAX(D:D) - MIN(D:D)))</f>
        <v>0.50246305418719206</v>
      </c>
      <c r="G29" s="4">
        <f>0.5 *E29+0.5*F29</f>
        <v>0.38588936373818766</v>
      </c>
      <c r="H29" s="2">
        <v>108</v>
      </c>
      <c r="I29" s="2">
        <v>50</v>
      </c>
      <c r="J29" s="3">
        <f>I29/H29</f>
        <v>0.46296296296296297</v>
      </c>
    </row>
    <row r="30" spans="1:10" x14ac:dyDescent="0.3">
      <c r="A30" s="2" t="s">
        <v>50</v>
      </c>
      <c r="B30" s="2" t="s">
        <v>51</v>
      </c>
      <c r="C30" s="2">
        <v>4.17</v>
      </c>
      <c r="D30" s="4">
        <v>0.16600000000000001</v>
      </c>
      <c r="E30" s="4">
        <f>(C30 - MIN(C:C)) / (MAX(C:C) - MIN(C:C))</f>
        <v>0.18432671081677701</v>
      </c>
      <c r="F30" s="4">
        <f>1 - ((D30 - MIN(D:D)) / (MAX(D:D) - MIN(D:D)))</f>
        <v>0.59113300492610832</v>
      </c>
      <c r="G30" s="4">
        <f>0.5 *E30+0.5*F30</f>
        <v>0.38772985787144265</v>
      </c>
      <c r="H30" s="2">
        <v>34</v>
      </c>
      <c r="I30" s="2">
        <v>15</v>
      </c>
      <c r="J30" s="3">
        <f>I30/H30</f>
        <v>0.44117647058823528</v>
      </c>
    </row>
    <row r="31" spans="1:10" x14ac:dyDescent="0.3">
      <c r="A31" s="2" t="s">
        <v>14</v>
      </c>
      <c r="B31" s="2" t="s">
        <v>16</v>
      </c>
      <c r="C31" s="2">
        <v>3.57</v>
      </c>
      <c r="D31" s="4">
        <v>0.14499999999999999</v>
      </c>
      <c r="E31" s="4">
        <f>(C31 - MIN(C:C)) / (MAX(C:C) - MIN(C:C))</f>
        <v>0.11810154525386311</v>
      </c>
      <c r="F31" s="4">
        <f>1 - ((D31 - MIN(D:D)) / (MAX(D:D) - MIN(D:D)))</f>
        <v>0.69458128078817727</v>
      </c>
      <c r="G31" s="4">
        <f>0.5 *E31+0.5*F31</f>
        <v>0.40634141302102017</v>
      </c>
      <c r="H31" s="2">
        <v>25</v>
      </c>
      <c r="I31" s="2">
        <v>15</v>
      </c>
      <c r="J31" s="3">
        <f>I31/H31</f>
        <v>0.6</v>
      </c>
    </row>
    <row r="32" spans="1:10" x14ac:dyDescent="0.3">
      <c r="A32" s="2" t="s">
        <v>14</v>
      </c>
      <c r="B32" s="2" t="s">
        <v>16</v>
      </c>
      <c r="C32" s="2">
        <v>4.5</v>
      </c>
      <c r="D32" s="4">
        <v>0.16400000000000001</v>
      </c>
      <c r="E32" s="4">
        <f>(C32 - MIN(C:C)) / (MAX(C:C) - MIN(C:C))</f>
        <v>0.22075055187637968</v>
      </c>
      <c r="F32" s="4">
        <f>1 - ((D32 - MIN(D:D)) / (MAX(D:D) - MIN(D:D)))</f>
        <v>0.60098522167487678</v>
      </c>
      <c r="G32" s="4">
        <f>0.5 *E32+0.5*F32</f>
        <v>0.41086788677562824</v>
      </c>
      <c r="H32" s="2">
        <v>25</v>
      </c>
      <c r="I32" s="2">
        <v>12</v>
      </c>
      <c r="J32" s="3">
        <f>I32/H32</f>
        <v>0.48</v>
      </c>
    </row>
    <row r="33" spans="1:10" x14ac:dyDescent="0.3">
      <c r="A33" s="2" t="s">
        <v>14</v>
      </c>
      <c r="B33" s="2" t="s">
        <v>15</v>
      </c>
      <c r="C33" s="2">
        <v>5.31</v>
      </c>
      <c r="D33" s="4">
        <v>0.17799999999999999</v>
      </c>
      <c r="E33" s="4">
        <f>(C33 - MIN(C:C)) / (MAX(C:C) - MIN(C:C))</f>
        <v>0.31015452538631338</v>
      </c>
      <c r="F33" s="4">
        <f>1 - ((D33 - MIN(D:D)) / (MAX(D:D) - MIN(D:D)))</f>
        <v>0.53201970443349755</v>
      </c>
      <c r="G33" s="4">
        <f>0.5 *E33+0.5*F33</f>
        <v>0.42108711490990547</v>
      </c>
      <c r="H33" s="2">
        <v>27</v>
      </c>
      <c r="I33" s="2">
        <v>18</v>
      </c>
      <c r="J33" s="3">
        <f>I33/H33</f>
        <v>0.66666666666666663</v>
      </c>
    </row>
    <row r="34" spans="1:10" x14ac:dyDescent="0.3">
      <c r="A34" s="2" t="s">
        <v>41</v>
      </c>
      <c r="B34" s="2" t="s">
        <v>42</v>
      </c>
      <c r="C34" s="2">
        <v>5</v>
      </c>
      <c r="D34" s="4">
        <v>0.16900000000000001</v>
      </c>
      <c r="E34" s="4">
        <f>(C34 - MIN(C:C)) / (MAX(C:C) - MIN(C:C))</f>
        <v>0.27593818984547458</v>
      </c>
      <c r="F34" s="4">
        <f>1 - ((D34 - MIN(D:D)) / (MAX(D:D) - MIN(D:D)))</f>
        <v>0.57635467980295552</v>
      </c>
      <c r="G34" s="4">
        <f>0.5 *E34+0.5*F34</f>
        <v>0.42614643482421505</v>
      </c>
      <c r="H34" s="2">
        <v>40</v>
      </c>
      <c r="I34" s="2">
        <v>17</v>
      </c>
      <c r="J34" s="3">
        <f>I34/H34</f>
        <v>0.42499999999999999</v>
      </c>
    </row>
    <row r="35" spans="1:10" x14ac:dyDescent="0.3">
      <c r="A35" s="2" t="s">
        <v>14</v>
      </c>
      <c r="B35" s="2" t="s">
        <v>32</v>
      </c>
      <c r="C35" s="2">
        <v>3.41</v>
      </c>
      <c r="D35" s="4">
        <v>0.13200000000000001</v>
      </c>
      <c r="E35" s="4">
        <f>(C35 - MIN(C:C)) / (MAX(C:C) - MIN(C:C))</f>
        <v>0.10044150110375277</v>
      </c>
      <c r="F35" s="4">
        <f>1 - ((D35 - MIN(D:D)) / (MAX(D:D) - MIN(D:D)))</f>
        <v>0.75862068965517238</v>
      </c>
      <c r="G35" s="4">
        <f>0.5 *E35+0.5*F35</f>
        <v>0.42953109537946255</v>
      </c>
      <c r="H35" s="2">
        <v>24</v>
      </c>
      <c r="I35" s="2">
        <v>12</v>
      </c>
      <c r="J35" s="3">
        <f>I35/H35</f>
        <v>0.5</v>
      </c>
    </row>
    <row r="36" spans="1:10" x14ac:dyDescent="0.3">
      <c r="A36" s="2" t="s">
        <v>33</v>
      </c>
      <c r="B36" s="2" t="s">
        <v>34</v>
      </c>
      <c r="C36" s="2">
        <v>6.05</v>
      </c>
      <c r="D36" s="4">
        <v>0.189</v>
      </c>
      <c r="E36" s="4">
        <f>(C36 - MIN(C:C)) / (MAX(C:C) - MIN(C:C))</f>
        <v>0.3918322295805739</v>
      </c>
      <c r="F36" s="4">
        <f>1 - ((D36 - MIN(D:D)) / (MAX(D:D) - MIN(D:D)))</f>
        <v>0.4778325123152708</v>
      </c>
      <c r="G36" s="4">
        <f>0.5 *E36+0.5*F36</f>
        <v>0.43483237094792238</v>
      </c>
      <c r="H36" s="2">
        <v>119</v>
      </c>
      <c r="I36" s="2">
        <v>42</v>
      </c>
      <c r="J36" s="3">
        <f>I36/H36</f>
        <v>0.35294117647058826</v>
      </c>
    </row>
    <row r="37" spans="1:10" x14ac:dyDescent="0.3">
      <c r="A37" s="2" t="s">
        <v>58</v>
      </c>
      <c r="B37" s="2" t="s">
        <v>11</v>
      </c>
      <c r="C37" s="2">
        <v>5.91</v>
      </c>
      <c r="D37" s="4">
        <v>0.183</v>
      </c>
      <c r="E37" s="4">
        <f>(C37 - MIN(C:C)) / (MAX(C:C) - MIN(C:C))</f>
        <v>0.37637969094922735</v>
      </c>
      <c r="F37" s="4">
        <f>1 - ((D37 - MIN(D:D)) / (MAX(D:D) - MIN(D:D)))</f>
        <v>0.50738916256157629</v>
      </c>
      <c r="G37" s="4">
        <f>0.5 *E37+0.5*F37</f>
        <v>0.44188442675540185</v>
      </c>
      <c r="H37" s="2">
        <v>73</v>
      </c>
      <c r="I37" s="2">
        <v>44</v>
      </c>
      <c r="J37" s="3">
        <f>I37/H37</f>
        <v>0.60273972602739723</v>
      </c>
    </row>
    <row r="38" spans="1:10" x14ac:dyDescent="0.3">
      <c r="A38" s="2" t="s">
        <v>14</v>
      </c>
      <c r="B38" s="2" t="s">
        <v>15</v>
      </c>
      <c r="C38" s="2">
        <v>7.92</v>
      </c>
      <c r="D38" s="4">
        <v>0.20100000000000001</v>
      </c>
      <c r="E38" s="4">
        <f>(C38 - MIN(C:C)) / (MAX(C:C) - MIN(C:C))</f>
        <v>0.59823399558498891</v>
      </c>
      <c r="F38" s="4">
        <f>1 - ((D38 - MIN(D:D)) / (MAX(D:D) - MIN(D:D)))</f>
        <v>0.41871921182265992</v>
      </c>
      <c r="G38" s="4">
        <f>0.5 *E38+0.5*F38</f>
        <v>0.50847660370382441</v>
      </c>
      <c r="H38" s="2">
        <v>24</v>
      </c>
      <c r="I38" s="2">
        <v>12</v>
      </c>
      <c r="J38" s="3">
        <f>I38/H38</f>
        <v>0.5</v>
      </c>
    </row>
    <row r="39" spans="1:10" x14ac:dyDescent="0.3">
      <c r="A39" s="2" t="s">
        <v>14</v>
      </c>
      <c r="B39" s="2" t="s">
        <v>20</v>
      </c>
      <c r="C39" s="2">
        <v>6.14</v>
      </c>
      <c r="D39" s="4">
        <v>0.159</v>
      </c>
      <c r="E39" s="4">
        <f>(C39 - MIN(C:C)) / (MAX(C:C) - MIN(C:C))</f>
        <v>0.40176600441501098</v>
      </c>
      <c r="F39" s="4">
        <f>1 - ((D39 - MIN(D:D)) / (MAX(D:D) - MIN(D:D)))</f>
        <v>0.62561576354679804</v>
      </c>
      <c r="G39" s="4">
        <f>0.5 *E39+0.5*F39</f>
        <v>0.51369088398090446</v>
      </c>
      <c r="H39" s="2">
        <v>23</v>
      </c>
      <c r="I39" s="2">
        <v>11</v>
      </c>
      <c r="J39" s="3">
        <f>I39/H39</f>
        <v>0.47826086956521741</v>
      </c>
    </row>
    <row r="40" spans="1:10" x14ac:dyDescent="0.3">
      <c r="A40" s="2" t="s">
        <v>14</v>
      </c>
      <c r="B40" s="2" t="s">
        <v>20</v>
      </c>
      <c r="C40" s="2">
        <v>6.14</v>
      </c>
      <c r="D40" s="4">
        <v>0.156</v>
      </c>
      <c r="E40" s="4">
        <f>(C40 - MIN(C:C)) / (MAX(C:C) - MIN(C:C))</f>
        <v>0.40176600441501098</v>
      </c>
      <c r="F40" s="4">
        <f>1 - ((D40 - MIN(D:D)) / (MAX(D:D) - MIN(D:D)))</f>
        <v>0.64039408866995062</v>
      </c>
      <c r="G40" s="4">
        <f>0.5 *E40+0.5*F40</f>
        <v>0.52108004654248075</v>
      </c>
      <c r="H40" s="2">
        <v>21</v>
      </c>
      <c r="I40" s="2">
        <v>13</v>
      </c>
      <c r="J40" s="3">
        <f>I40/H40</f>
        <v>0.61904761904761907</v>
      </c>
    </row>
    <row r="41" spans="1:10" x14ac:dyDescent="0.3">
      <c r="A41" s="2" t="s">
        <v>14</v>
      </c>
      <c r="B41" s="2" t="s">
        <v>39</v>
      </c>
      <c r="C41" s="2">
        <v>5.36</v>
      </c>
      <c r="D41" s="4">
        <v>0.13500000000000001</v>
      </c>
      <c r="E41" s="4">
        <f>(C41 - MIN(C:C)) / (MAX(C:C) - MIN(C:C))</f>
        <v>0.31567328918322296</v>
      </c>
      <c r="F41" s="4">
        <f>1 - ((D41 - MIN(D:D)) / (MAX(D:D) - MIN(D:D)))</f>
        <v>0.74384236453201957</v>
      </c>
      <c r="G41" s="4">
        <f>0.5 *E41+0.5*F41</f>
        <v>0.52975782685762129</v>
      </c>
      <c r="H41" s="2">
        <v>27</v>
      </c>
      <c r="I41" s="2">
        <v>9</v>
      </c>
      <c r="J41" s="3">
        <f>I41/H41</f>
        <v>0.33333333333333331</v>
      </c>
    </row>
    <row r="42" spans="1:10" x14ac:dyDescent="0.3">
      <c r="A42" s="2" t="s">
        <v>14</v>
      </c>
      <c r="B42" s="2" t="s">
        <v>39</v>
      </c>
      <c r="C42" s="2">
        <v>4.17</v>
      </c>
      <c r="D42" s="4">
        <v>0.108</v>
      </c>
      <c r="E42" s="4">
        <f>(C42 - MIN(C:C)) / (MAX(C:C) - MIN(C:C))</f>
        <v>0.18432671081677701</v>
      </c>
      <c r="F42" s="4">
        <f>1 - ((D42 - MIN(D:D)) / (MAX(D:D) - MIN(D:D)))</f>
        <v>0.87684729064039413</v>
      </c>
      <c r="G42" s="4">
        <f>0.5 *E42+0.5*F42</f>
        <v>0.53058700072858556</v>
      </c>
      <c r="H42" s="2">
        <v>27</v>
      </c>
      <c r="I42" s="2">
        <v>8</v>
      </c>
      <c r="J42" s="3">
        <f>I42/H42</f>
        <v>0.29629629629629628</v>
      </c>
    </row>
    <row r="43" spans="1:10" x14ac:dyDescent="0.3">
      <c r="A43" s="2" t="s">
        <v>14</v>
      </c>
      <c r="B43" s="2" t="s">
        <v>45</v>
      </c>
      <c r="C43" s="2">
        <v>5.62</v>
      </c>
      <c r="D43" s="4">
        <v>0.13500000000000001</v>
      </c>
      <c r="E43" s="4">
        <f>(C43 - MIN(C:C)) / (MAX(C:C) - MIN(C:C))</f>
        <v>0.3443708609271523</v>
      </c>
      <c r="F43" s="4">
        <f>1 - ((D43 - MIN(D:D)) / (MAX(D:D) - MIN(D:D)))</f>
        <v>0.74384236453201957</v>
      </c>
      <c r="G43" s="4">
        <f>0.5 *E43+0.5*F43</f>
        <v>0.54410661272958594</v>
      </c>
      <c r="H43" s="2">
        <v>25</v>
      </c>
      <c r="I43" s="2">
        <v>8</v>
      </c>
      <c r="J43" s="3">
        <f>I43/H43</f>
        <v>0.32</v>
      </c>
    </row>
    <row r="44" spans="1:10" x14ac:dyDescent="0.3">
      <c r="A44" s="2" t="s">
        <v>33</v>
      </c>
      <c r="B44" s="2" t="s">
        <v>38</v>
      </c>
      <c r="C44" s="2">
        <v>6.83</v>
      </c>
      <c r="D44" s="4">
        <v>0.161</v>
      </c>
      <c r="E44" s="4">
        <f>(C44 - MIN(C:C)) / (MAX(C:C) - MIN(C:C))</f>
        <v>0.47792494481236203</v>
      </c>
      <c r="F44" s="4">
        <f>1 - ((D44 - MIN(D:D)) / (MAX(D:D) - MIN(D:D)))</f>
        <v>0.61576354679802947</v>
      </c>
      <c r="G44" s="4">
        <f>0.5 *E44+0.5*F44</f>
        <v>0.54684424580519575</v>
      </c>
      <c r="H44" s="2">
        <v>121</v>
      </c>
      <c r="I44" s="2">
        <v>54</v>
      </c>
      <c r="J44" s="3">
        <f>I44/H44</f>
        <v>0.4462809917355372</v>
      </c>
    </row>
    <row r="45" spans="1:10" x14ac:dyDescent="0.3">
      <c r="A45" s="2" t="s">
        <v>14</v>
      </c>
      <c r="B45" s="2" t="s">
        <v>43</v>
      </c>
      <c r="C45" s="2">
        <v>8</v>
      </c>
      <c r="D45" s="4">
        <v>0.186</v>
      </c>
      <c r="E45" s="4">
        <f>(C45 - MIN(C:C)) / (MAX(C:C) - MIN(C:C))</f>
        <v>0.60706401766004414</v>
      </c>
      <c r="F45" s="4">
        <f>1 - ((D45 - MIN(D:D)) / (MAX(D:D) - MIN(D:D)))</f>
        <v>0.4926108374384236</v>
      </c>
      <c r="G45" s="4">
        <f>0.5 *E45+0.5*F45</f>
        <v>0.54983742754923393</v>
      </c>
      <c r="H45" s="2">
        <v>27</v>
      </c>
      <c r="I45" s="2">
        <v>11</v>
      </c>
      <c r="J45" s="3">
        <f>I45/H45</f>
        <v>0.40740740740740738</v>
      </c>
    </row>
    <row r="46" spans="1:10" x14ac:dyDescent="0.3">
      <c r="A46" s="2" t="s">
        <v>14</v>
      </c>
      <c r="B46" s="2" t="s">
        <v>40</v>
      </c>
      <c r="C46" s="2">
        <v>7.5</v>
      </c>
      <c r="D46" s="4">
        <v>0.17299999999999999</v>
      </c>
      <c r="E46" s="4">
        <f>(C46 - MIN(C:C)) / (MAX(C:C) - MIN(C:C))</f>
        <v>0.55187637969094916</v>
      </c>
      <c r="F46" s="4">
        <f>1 - ((D46 - MIN(D:D)) / (MAX(D:D) - MIN(D:D)))</f>
        <v>0.55665024630541871</v>
      </c>
      <c r="G46" s="4">
        <f>0.5 *E46+0.5*F46</f>
        <v>0.55426331299818399</v>
      </c>
      <c r="H46" s="2">
        <v>27</v>
      </c>
      <c r="I46" s="2">
        <v>11</v>
      </c>
      <c r="J46" s="3">
        <f>I46/H46</f>
        <v>0.40740740740740738</v>
      </c>
    </row>
    <row r="47" spans="1:10" x14ac:dyDescent="0.3">
      <c r="A47" s="2" t="s">
        <v>14</v>
      </c>
      <c r="B47" s="2" t="s">
        <v>15</v>
      </c>
      <c r="C47" s="2">
        <v>6.35</v>
      </c>
      <c r="D47" s="4">
        <v>0.14199999999999999</v>
      </c>
      <c r="E47" s="4">
        <f>(C47 - MIN(C:C)) / (MAX(C:C) - MIN(C:C))</f>
        <v>0.42494481236203085</v>
      </c>
      <c r="F47" s="4">
        <f>1 - ((D47 - MIN(D:D)) / (MAX(D:D) - MIN(D:D)))</f>
        <v>0.70935960591133007</v>
      </c>
      <c r="G47" s="4">
        <f>0.5 *E47+0.5*F47</f>
        <v>0.56715220913668052</v>
      </c>
      <c r="H47" s="2">
        <v>27</v>
      </c>
      <c r="I47" s="2">
        <v>15</v>
      </c>
      <c r="J47" s="3">
        <f>I47/H47</f>
        <v>0.55555555555555558</v>
      </c>
    </row>
    <row r="48" spans="1:10" x14ac:dyDescent="0.3">
      <c r="A48" s="2" t="s">
        <v>14</v>
      </c>
      <c r="B48" s="2" t="s">
        <v>43</v>
      </c>
      <c r="C48" s="2">
        <v>8.27</v>
      </c>
      <c r="D48" s="4">
        <v>0.18</v>
      </c>
      <c r="E48" s="4">
        <f>(C48 - MIN(C:C)) / (MAX(C:C) - MIN(C:C))</f>
        <v>0.63686534216335533</v>
      </c>
      <c r="F48" s="4">
        <f>1 - ((D48 - MIN(D:D)) / (MAX(D:D) - MIN(D:D)))</f>
        <v>0.52216748768472909</v>
      </c>
      <c r="G48" s="4">
        <f>0.5 *E48+0.5*F48</f>
        <v>0.57951641492404216</v>
      </c>
      <c r="H48" s="2">
        <v>24</v>
      </c>
      <c r="I48" s="2">
        <v>15</v>
      </c>
      <c r="J48" s="3">
        <f>I48/H48</f>
        <v>0.625</v>
      </c>
    </row>
    <row r="49" spans="1:10" x14ac:dyDescent="0.3">
      <c r="A49" s="2" t="s">
        <v>23</v>
      </c>
      <c r="B49" s="2" t="s">
        <v>24</v>
      </c>
      <c r="C49" s="2">
        <v>8.43</v>
      </c>
      <c r="D49" s="4">
        <v>0.17499999999999999</v>
      </c>
      <c r="E49" s="4">
        <f>(C49 - MIN(C:C)) / (MAX(C:C) - MIN(C:C))</f>
        <v>0.65452538631346568</v>
      </c>
      <c r="F49" s="4">
        <f>1 - ((D49 - MIN(D:D)) / (MAX(D:D) - MIN(D:D)))</f>
        <v>0.54679802955665024</v>
      </c>
      <c r="G49" s="4">
        <f>0.5 *E49+0.5*F49</f>
        <v>0.60066170793505802</v>
      </c>
      <c r="H49" s="2">
        <v>66</v>
      </c>
      <c r="I49" s="2">
        <v>28</v>
      </c>
      <c r="J49" s="3">
        <f>I49/H49</f>
        <v>0.42424242424242425</v>
      </c>
    </row>
    <row r="50" spans="1:10" x14ac:dyDescent="0.3">
      <c r="A50" s="2" t="s">
        <v>14</v>
      </c>
      <c r="B50" s="2" t="s">
        <v>20</v>
      </c>
      <c r="C50" s="2">
        <v>8</v>
      </c>
      <c r="D50" s="4">
        <v>0.158</v>
      </c>
      <c r="E50" s="4">
        <f>(C50 - MIN(C:C)) / (MAX(C:C) - MIN(C:C))</f>
        <v>0.60706401766004414</v>
      </c>
      <c r="F50" s="4">
        <f>1 - ((D50 - MIN(D:D)) / (MAX(D:D) - MIN(D:D)))</f>
        <v>0.63054187192118216</v>
      </c>
      <c r="G50" s="4">
        <f>0.5 *E50+0.5*F50</f>
        <v>0.61880294479061315</v>
      </c>
      <c r="H50" s="2">
        <v>17</v>
      </c>
      <c r="I50" s="2">
        <v>11</v>
      </c>
      <c r="J50" s="3">
        <f>I50/H50</f>
        <v>0.6470588235294118</v>
      </c>
    </row>
    <row r="51" spans="1:10" x14ac:dyDescent="0.3">
      <c r="A51" s="2" t="s">
        <v>14</v>
      </c>
      <c r="B51" s="2" t="s">
        <v>15</v>
      </c>
      <c r="C51" s="2">
        <v>7.5</v>
      </c>
      <c r="D51" s="4">
        <v>0.14599999999999999</v>
      </c>
      <c r="E51" s="4">
        <f>(C51 - MIN(C:C)) / (MAX(C:C) - MIN(C:C))</f>
        <v>0.55187637969094916</v>
      </c>
      <c r="F51" s="4">
        <f>1 - ((D51 - MIN(D:D)) / (MAX(D:D) - MIN(D:D)))</f>
        <v>0.68965517241379315</v>
      </c>
      <c r="G51" s="4">
        <f>0.5 *E51+0.5*F51</f>
        <v>0.62076577605237115</v>
      </c>
      <c r="H51" s="2">
        <v>26</v>
      </c>
      <c r="I51" s="2">
        <v>15</v>
      </c>
      <c r="J51" s="3">
        <f>I51/H51</f>
        <v>0.57692307692307687</v>
      </c>
    </row>
    <row r="52" spans="1:10" x14ac:dyDescent="0.3">
      <c r="A52" s="2" t="s">
        <v>6</v>
      </c>
      <c r="B52" s="2" t="s">
        <v>13</v>
      </c>
      <c r="C52" s="2">
        <v>7.07</v>
      </c>
      <c r="D52" s="4">
        <v>0.13</v>
      </c>
      <c r="E52" s="4">
        <f>(C52 - MIN(C:C)) / (MAX(C:C) - MIN(C:C))</f>
        <v>0.50441501103752762</v>
      </c>
      <c r="F52" s="4">
        <f>1 - ((D52 - MIN(D:D)) / (MAX(D:D) - MIN(D:D)))</f>
        <v>0.76847290640394084</v>
      </c>
      <c r="G52" s="4">
        <f>0.5 *E52+0.5*F52</f>
        <v>0.63644395872073423</v>
      </c>
      <c r="H52" s="2">
        <v>39</v>
      </c>
      <c r="I52" s="2">
        <v>25</v>
      </c>
      <c r="J52" s="3">
        <f>I52/H52</f>
        <v>0.64102564102564108</v>
      </c>
    </row>
    <row r="53" spans="1:10" x14ac:dyDescent="0.3">
      <c r="A53" s="2" t="s">
        <v>41</v>
      </c>
      <c r="B53" s="2" t="s">
        <v>42</v>
      </c>
      <c r="C53" s="2">
        <v>5.74</v>
      </c>
      <c r="D53" s="4">
        <v>0.1</v>
      </c>
      <c r="E53" s="4">
        <f>(C53 - MIN(C:C)) / (MAX(C:C) - MIN(C:C))</f>
        <v>0.35761589403973509</v>
      </c>
      <c r="F53" s="4">
        <f>1 - ((D53 - MIN(D:D)) / (MAX(D:D) - MIN(D:D)))</f>
        <v>0.91625615763546797</v>
      </c>
      <c r="G53" s="4">
        <f>0.5 *E53+0.5*F53</f>
        <v>0.63693602583760156</v>
      </c>
      <c r="H53" s="2">
        <v>37</v>
      </c>
      <c r="I53" s="2">
        <v>19</v>
      </c>
      <c r="J53" s="3">
        <f>I53/H53</f>
        <v>0.51351351351351349</v>
      </c>
    </row>
    <row r="54" spans="1:10" x14ac:dyDescent="0.3">
      <c r="A54" s="2" t="s">
        <v>48</v>
      </c>
      <c r="B54" s="2" t="s">
        <v>49</v>
      </c>
      <c r="C54" s="2">
        <v>5</v>
      </c>
      <c r="D54" s="4">
        <v>8.3000000000000004E-2</v>
      </c>
      <c r="E54" s="4">
        <f>(C54 - MIN(C:C)) / (MAX(C:C) - MIN(C:C))</f>
        <v>0.27593818984547458</v>
      </c>
      <c r="F54" s="4">
        <f>1 - ((D54 - MIN(D:D)) / (MAX(D:D) - MIN(D:D)))</f>
        <v>1</v>
      </c>
      <c r="G54" s="4">
        <f>0.5 *E54+0.5*F54</f>
        <v>0.63796909492273723</v>
      </c>
      <c r="H54" s="2">
        <v>12</v>
      </c>
      <c r="I54" s="2">
        <v>5</v>
      </c>
      <c r="J54" s="3">
        <f>I54/H54</f>
        <v>0.41666666666666669</v>
      </c>
    </row>
    <row r="55" spans="1:10" x14ac:dyDescent="0.3">
      <c r="A55" s="2" t="s">
        <v>14</v>
      </c>
      <c r="B55" s="2" t="s">
        <v>44</v>
      </c>
      <c r="C55" s="2">
        <v>8</v>
      </c>
      <c r="D55" s="4">
        <v>0.14399999999999999</v>
      </c>
      <c r="E55" s="4">
        <f>(C55 - MIN(C:C)) / (MAX(C:C) - MIN(C:C))</f>
        <v>0.60706401766004414</v>
      </c>
      <c r="F55" s="4">
        <f>1 - ((D55 - MIN(D:D)) / (MAX(D:D) - MIN(D:D)))</f>
        <v>0.69950738916256161</v>
      </c>
      <c r="G55" s="4">
        <f>0.5 *E55+0.5*F55</f>
        <v>0.65328570341130288</v>
      </c>
      <c r="H55" s="2">
        <v>34</v>
      </c>
      <c r="I55" s="2">
        <v>10</v>
      </c>
      <c r="J55" s="3">
        <f>I55/H55</f>
        <v>0.29411764705882354</v>
      </c>
    </row>
    <row r="56" spans="1:10" x14ac:dyDescent="0.3">
      <c r="A56" s="2" t="s">
        <v>14</v>
      </c>
      <c r="B56" s="2" t="s">
        <v>20</v>
      </c>
      <c r="C56" s="2">
        <v>9.17</v>
      </c>
      <c r="D56" s="4">
        <v>0.13800000000000001</v>
      </c>
      <c r="E56" s="4">
        <f>(C56 - MIN(C:C)) / (MAX(C:C) - MIN(C:C))</f>
        <v>0.73620309050772625</v>
      </c>
      <c r="F56" s="4">
        <f>1 - ((D56 - MIN(D:D)) / (MAX(D:D) - MIN(D:D)))</f>
        <v>0.72906403940886688</v>
      </c>
      <c r="G56" s="4">
        <f>0.5 *E56+0.5*F56</f>
        <v>0.73263356495829657</v>
      </c>
      <c r="H56" s="2">
        <v>20</v>
      </c>
      <c r="I56" s="2">
        <v>9</v>
      </c>
      <c r="J56" s="3">
        <f>I56/H56</f>
        <v>0.45</v>
      </c>
    </row>
    <row r="57" spans="1:10" x14ac:dyDescent="0.3">
      <c r="A57" s="2" t="s">
        <v>14</v>
      </c>
      <c r="B57" s="2" t="s">
        <v>44</v>
      </c>
      <c r="C57" s="2">
        <v>11</v>
      </c>
      <c r="D57" s="4">
        <v>0.17399999999999999</v>
      </c>
      <c r="E57" s="4">
        <f>(C57 - MIN(C:C)) / (MAX(C:C) - MIN(C:C))</f>
        <v>0.93818984547461359</v>
      </c>
      <c r="F57" s="4">
        <f>1 - ((D57 - MIN(D:D)) / (MAX(D:D) - MIN(D:D)))</f>
        <v>0.55172413793103448</v>
      </c>
      <c r="G57" s="4">
        <f>0.5 *E57+0.5*F57</f>
        <v>0.74495699170282403</v>
      </c>
      <c r="H57" s="2">
        <v>35</v>
      </c>
      <c r="I57" s="2">
        <v>21</v>
      </c>
      <c r="J57" s="3">
        <f>I57/H57</f>
        <v>0.6</v>
      </c>
    </row>
    <row r="58" spans="1:10" x14ac:dyDescent="0.3">
      <c r="A58" s="2" t="s">
        <v>6</v>
      </c>
      <c r="B58" s="2" t="s">
        <v>13</v>
      </c>
      <c r="C58" s="2">
        <v>8.86</v>
      </c>
      <c r="D58" s="4">
        <v>0.123</v>
      </c>
      <c r="E58" s="4">
        <f>(C58 - MIN(C:C)) / (MAX(C:C) - MIN(C:C))</f>
        <v>0.70198675496688734</v>
      </c>
      <c r="F58" s="4">
        <f>1 - ((D58 - MIN(D:D)) / (MAX(D:D) - MIN(D:D)))</f>
        <v>0.80295566502463056</v>
      </c>
      <c r="G58" s="4">
        <f>0.5 *E58+0.5*F58</f>
        <v>0.75247120999575889</v>
      </c>
      <c r="H58" s="2">
        <v>42</v>
      </c>
      <c r="I58" s="2">
        <v>22</v>
      </c>
      <c r="J58" s="3">
        <f>I58/H58</f>
        <v>0.52380952380952384</v>
      </c>
    </row>
    <row r="59" spans="1:10" x14ac:dyDescent="0.3">
      <c r="A59" s="2" t="s">
        <v>29</v>
      </c>
      <c r="B59" s="2" t="s">
        <v>30</v>
      </c>
      <c r="C59" s="2">
        <v>11.56</v>
      </c>
      <c r="D59" s="4">
        <v>0.17599999999999999</v>
      </c>
      <c r="E59" s="4">
        <f>(C59 - MIN(C:C)) / (MAX(C:C) - MIN(C:C))</f>
        <v>1</v>
      </c>
      <c r="F59" s="4">
        <f>1 - ((D59 - MIN(D:D)) / (MAX(D:D) - MIN(D:D)))</f>
        <v>0.54187192118226601</v>
      </c>
      <c r="G59" s="4">
        <f>0.5 *E59+0.5*F59</f>
        <v>0.77093596059113301</v>
      </c>
      <c r="H59" s="2">
        <v>24</v>
      </c>
      <c r="I59" s="2">
        <v>16</v>
      </c>
      <c r="J59" s="3">
        <f>I59/H59</f>
        <v>0.66666666666666663</v>
      </c>
    </row>
    <row r="60" spans="1:10" x14ac:dyDescent="0.3">
      <c r="A60" s="2" t="s">
        <v>55</v>
      </c>
      <c r="B60" s="2" t="s">
        <v>11</v>
      </c>
      <c r="C60" s="2">
        <v>11.55</v>
      </c>
      <c r="D60" s="4">
        <v>0.17299999999999999</v>
      </c>
      <c r="E60" s="4">
        <f>(C60 - MIN(C:C)) / (MAX(C:C) - MIN(C:C))</f>
        <v>0.9988962472406181</v>
      </c>
      <c r="F60" s="4">
        <f>1 - ((D60 - MIN(D:D)) / (MAX(D:D) - MIN(D:D)))</f>
        <v>0.55665024630541871</v>
      </c>
      <c r="G60" s="4">
        <f>0.5 *E60+0.5*F60</f>
        <v>0.7777732467730184</v>
      </c>
      <c r="H60" s="2">
        <v>89</v>
      </c>
      <c r="I60" s="2">
        <v>58</v>
      </c>
      <c r="J60" s="3">
        <f>I60/H60</f>
        <v>0.651685393258427</v>
      </c>
    </row>
    <row r="61" spans="1:10" x14ac:dyDescent="0.3">
      <c r="A61" s="2" t="s">
        <v>64</v>
      </c>
      <c r="B61" s="2" t="s">
        <v>30</v>
      </c>
      <c r="C61" s="2">
        <v>10.36</v>
      </c>
      <c r="D61" s="4">
        <v>0.129</v>
      </c>
      <c r="E61" s="4">
        <f>(C61 - MIN(C:C)) / (MAX(C:C) - MIN(C:C))</f>
        <v>0.86754966887417206</v>
      </c>
      <c r="F61" s="4">
        <f>1 - ((D61 - MIN(D:D)) / (MAX(D:D) - MIN(D:D)))</f>
        <v>0.77339901477832507</v>
      </c>
      <c r="G61" s="4">
        <f>0.5 *E61+0.5*F61</f>
        <v>0.82047434182624857</v>
      </c>
      <c r="H61" s="2">
        <v>25</v>
      </c>
      <c r="I61" s="2">
        <v>14</v>
      </c>
      <c r="J61" s="3">
        <f>I61/H61</f>
        <v>0.56000000000000005</v>
      </c>
    </row>
  </sheetData>
  <sortState xmlns:xlrd2="http://schemas.microsoft.com/office/spreadsheetml/2017/richdata2" ref="A2:J61">
    <sortCondition ref="G7:G61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bios_course_results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2025-04-04T22:35:24Z</dcterms:created>
  <dcterms:modified xsi:type="dcterms:W3CDTF">2025-04-04T22:43:46Z</dcterms:modified>
</cp:coreProperties>
</file>